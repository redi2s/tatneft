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ЭтаКнига" defaultThemeVersion="124226"/>
  <bookViews>
    <workbookView xWindow="0" yWindow="0" windowWidth="20490" windowHeight="6855" tabRatio="842"/>
  </bookViews>
  <sheets>
    <sheet name="Циклограмма" sheetId="18" r:id="rId1"/>
    <sheet name="План Факт" sheetId="21" r:id="rId2"/>
    <sheet name="База" sheetId="5" r:id="rId3"/>
    <sheet name="План Факт (ТЕСТЫ)" sheetId="22" r:id="rId4"/>
  </sheets>
  <externalReferences>
    <externalReference r:id="rId5"/>
  </externalReferences>
  <definedNames>
    <definedName name="_xlnm._FilterDatabase" localSheetId="1" hidden="1">'План Факт'!$A$5:$CB$133</definedName>
    <definedName name="_xlnm._FilterDatabase" localSheetId="3" hidden="1">'План Факт (ТЕСТЫ)'!$A$5:$BZ$89</definedName>
    <definedName name="_xlnm._FilterDatabase" localSheetId="0" hidden="1">Циклограмма!$A$11:$CA$140</definedName>
    <definedName name="AI_Version">[1]Options!$B$5</definedName>
    <definedName name="CalcMethod">[1]Проект!$B$77</definedName>
    <definedName name="IS_DEMO">[1]Options!$B$7</definedName>
    <definedName name="IS_ESTATE">[1]Options!$B$11</definedName>
    <definedName name="IS_SUMM">[1]Options!$B$10</definedName>
    <definedName name="IS_TRIAL">[1]Options!$B$8</definedName>
    <definedName name="LanguageID">[1]Language!$A$2</definedName>
    <definedName name="PORT_PrjPeriods">[1]Портфель!$A$28</definedName>
    <definedName name="Линии" localSheetId="1">#REF!</definedName>
    <definedName name="Линии" localSheetId="3">#REF!</definedName>
    <definedName name="Линии">#REF!</definedName>
    <definedName name="_xlnm.Print_Area" localSheetId="2">База!$A$1:$J$59</definedName>
  </definedNames>
  <calcPr calcId="152511"/>
</workbook>
</file>

<file path=xl/calcChain.xml><?xml version="1.0" encoding="utf-8"?>
<calcChain xmlns="http://schemas.openxmlformats.org/spreadsheetml/2006/main">
  <c r="G2" i="21" l="1"/>
  <c r="R66" i="22"/>
  <c r="Q66" i="22"/>
  <c r="K17" i="18" l="1"/>
  <c r="K18" i="18"/>
  <c r="C6" i="18" l="1"/>
  <c r="G6" i="18" l="1"/>
  <c r="F5" i="18"/>
  <c r="F6" i="18"/>
  <c r="G5" i="18"/>
  <c r="E89" i="22" l="1"/>
  <c r="E88" i="22"/>
  <c r="E85" i="22"/>
  <c r="E86" i="22" s="1"/>
  <c r="E83" i="22"/>
  <c r="E82" i="22"/>
  <c r="E79" i="22"/>
  <c r="E80" i="22" s="1"/>
  <c r="E77" i="22"/>
  <c r="E76" i="22"/>
  <c r="E73" i="22"/>
  <c r="E74" i="22" s="1"/>
  <c r="E71" i="22"/>
  <c r="E70" i="22"/>
  <c r="E67" i="22"/>
  <c r="E68" i="22" s="1"/>
  <c r="E64" i="22"/>
  <c r="E65" i="22" s="1"/>
  <c r="E61" i="22"/>
  <c r="E62" i="22" s="1"/>
  <c r="E58" i="22"/>
  <c r="E59" i="22" s="1"/>
  <c r="E56" i="22"/>
  <c r="E55" i="22"/>
  <c r="E52" i="22"/>
  <c r="E53" i="22" s="1"/>
  <c r="E50" i="22"/>
  <c r="E49" i="22"/>
  <c r="E46" i="22"/>
  <c r="E47" i="22" s="1"/>
  <c r="E43" i="22"/>
  <c r="E44" i="22" s="1"/>
  <c r="E42" i="22"/>
  <c r="E41" i="22"/>
  <c r="E37" i="22"/>
  <c r="E38" i="22" s="1"/>
  <c r="E34" i="22"/>
  <c r="E35" i="22" s="1"/>
  <c r="E31" i="22"/>
  <c r="E32" i="22" s="1"/>
  <c r="E28" i="22"/>
  <c r="E29" i="22" s="1"/>
  <c r="E26" i="22"/>
  <c r="E25" i="22"/>
  <c r="E22" i="22"/>
  <c r="E23" i="22" s="1"/>
  <c r="E20" i="22"/>
  <c r="E19" i="22"/>
  <c r="E16" i="22"/>
  <c r="E17" i="22" s="1"/>
  <c r="E13" i="22"/>
  <c r="E14" i="22" s="1"/>
  <c r="E9" i="22"/>
  <c r="E10" i="22" s="1"/>
  <c r="E11" i="22" s="1"/>
  <c r="E8" i="22"/>
  <c r="N5" i="22"/>
  <c r="O5" i="22" s="1"/>
  <c r="P5" i="22" s="1"/>
  <c r="E3" i="22"/>
  <c r="E2" i="22"/>
  <c r="G3" i="21"/>
  <c r="I57" i="18"/>
  <c r="K57" i="18"/>
  <c r="I58" i="18"/>
  <c r="K58" i="18"/>
  <c r="I59" i="18"/>
  <c r="K59" i="18"/>
  <c r="I60" i="18"/>
  <c r="K60" i="18"/>
  <c r="I61" i="18"/>
  <c r="K61" i="18"/>
  <c r="I62" i="18"/>
  <c r="K62" i="18"/>
  <c r="I63" i="18"/>
  <c r="K63" i="18"/>
  <c r="I64" i="18"/>
  <c r="K64" i="18"/>
  <c r="I65" i="18"/>
  <c r="K65" i="18"/>
  <c r="I66" i="18"/>
  <c r="K66" i="18"/>
  <c r="I67" i="18"/>
  <c r="K67" i="18"/>
  <c r="I68" i="18"/>
  <c r="K68" i="18"/>
  <c r="I69" i="18"/>
  <c r="K69" i="18"/>
  <c r="I70" i="18"/>
  <c r="K70" i="18"/>
  <c r="I71" i="18"/>
  <c r="K71" i="18"/>
  <c r="I72" i="18"/>
  <c r="K72" i="18"/>
  <c r="I73" i="18"/>
  <c r="K73" i="18"/>
  <c r="I74" i="18"/>
  <c r="K74" i="18"/>
  <c r="I75" i="18"/>
  <c r="K75" i="18"/>
  <c r="I76" i="18"/>
  <c r="K76" i="18"/>
  <c r="I77" i="18"/>
  <c r="K77" i="18"/>
  <c r="I78" i="18"/>
  <c r="K78" i="18"/>
  <c r="I79" i="18"/>
  <c r="K79" i="18"/>
  <c r="I80" i="18"/>
  <c r="K80" i="18"/>
  <c r="I81" i="18"/>
  <c r="K81" i="18"/>
  <c r="I82" i="18"/>
  <c r="K82" i="18"/>
  <c r="I83" i="18"/>
  <c r="K83" i="18"/>
  <c r="I84" i="18"/>
  <c r="K84" i="18"/>
  <c r="I85" i="18"/>
  <c r="K85" i="18"/>
  <c r="I86" i="18"/>
  <c r="K86" i="18"/>
  <c r="I87" i="18"/>
  <c r="K87" i="18"/>
  <c r="I88" i="18"/>
  <c r="K88" i="18"/>
  <c r="I89" i="18"/>
  <c r="K89" i="18"/>
  <c r="I90" i="18"/>
  <c r="K90" i="18"/>
  <c r="I91" i="18"/>
  <c r="K91" i="18"/>
  <c r="I92" i="18"/>
  <c r="K92" i="18"/>
  <c r="I93" i="18"/>
  <c r="K93" i="18"/>
  <c r="I94" i="18"/>
  <c r="K94" i="18"/>
  <c r="I95" i="18"/>
  <c r="K95" i="18"/>
  <c r="I96" i="18"/>
  <c r="K96" i="18"/>
  <c r="I97" i="18"/>
  <c r="K97" i="18"/>
  <c r="I98" i="18"/>
  <c r="K98" i="18"/>
  <c r="I99" i="18"/>
  <c r="K99" i="18"/>
  <c r="I100" i="18"/>
  <c r="K100" i="18"/>
  <c r="I101" i="18"/>
  <c r="K101" i="18"/>
  <c r="I102" i="18"/>
  <c r="K102" i="18"/>
  <c r="I103" i="18"/>
  <c r="K103" i="18"/>
  <c r="I104" i="18"/>
  <c r="K104" i="18"/>
  <c r="I105" i="18"/>
  <c r="K105" i="18"/>
  <c r="I106" i="18"/>
  <c r="K106" i="18"/>
  <c r="I107" i="18"/>
  <c r="K107" i="18"/>
  <c r="I108" i="18"/>
  <c r="K108" i="18"/>
  <c r="I109" i="18"/>
  <c r="K109" i="18"/>
  <c r="I110" i="18"/>
  <c r="K110" i="18"/>
  <c r="I111" i="18"/>
  <c r="K111" i="18"/>
  <c r="I112" i="18"/>
  <c r="K112" i="18"/>
  <c r="I113" i="18"/>
  <c r="K113" i="18"/>
  <c r="I114" i="18"/>
  <c r="K114" i="18"/>
  <c r="I115" i="18"/>
  <c r="K115" i="18"/>
  <c r="I116" i="18"/>
  <c r="K116" i="18"/>
  <c r="I117" i="18"/>
  <c r="K117" i="18"/>
  <c r="I118" i="18"/>
  <c r="K118" i="18"/>
  <c r="I119" i="18"/>
  <c r="K119" i="18"/>
  <c r="I120" i="18"/>
  <c r="K120" i="18"/>
  <c r="I121" i="18"/>
  <c r="K121" i="18"/>
  <c r="I122" i="18"/>
  <c r="K122" i="18"/>
  <c r="I123" i="18"/>
  <c r="K123" i="18"/>
  <c r="I124" i="18"/>
  <c r="K124" i="18"/>
  <c r="I125" i="18"/>
  <c r="K125" i="18"/>
  <c r="I126" i="18"/>
  <c r="K126" i="18"/>
  <c r="I127" i="18"/>
  <c r="K127" i="18"/>
  <c r="I128" i="18"/>
  <c r="K128" i="18"/>
  <c r="I129" i="18"/>
  <c r="K129" i="18"/>
  <c r="I130" i="18"/>
  <c r="K130" i="18"/>
  <c r="I131" i="18"/>
  <c r="K131" i="18"/>
  <c r="I132" i="18"/>
  <c r="K132" i="18"/>
  <c r="I133" i="18"/>
  <c r="K133" i="18"/>
  <c r="I134" i="18"/>
  <c r="K134" i="18"/>
  <c r="I135" i="18"/>
  <c r="K135" i="18"/>
  <c r="I136" i="18"/>
  <c r="K136" i="18"/>
  <c r="I137" i="18"/>
  <c r="K137" i="18"/>
  <c r="I138" i="18"/>
  <c r="K138" i="18"/>
  <c r="I139" i="18"/>
  <c r="K139" i="18"/>
  <c r="H117" i="18" l="1"/>
  <c r="H69" i="18"/>
  <c r="H119" i="18"/>
  <c r="H79" i="18"/>
  <c r="H57" i="18"/>
  <c r="H121" i="18"/>
  <c r="H99" i="18"/>
  <c r="H128" i="18"/>
  <c r="H104" i="18"/>
  <c r="H96" i="18"/>
  <c r="H88" i="18"/>
  <c r="H80" i="18"/>
  <c r="H72" i="18"/>
  <c r="H64" i="18"/>
  <c r="J136" i="18"/>
  <c r="H136" i="18" s="1"/>
  <c r="J124" i="18"/>
  <c r="H124" i="18" s="1"/>
  <c r="L137" i="18"/>
  <c r="L133" i="18"/>
  <c r="J129" i="18"/>
  <c r="J125" i="18"/>
  <c r="H125" i="18" s="1"/>
  <c r="J121" i="18"/>
  <c r="J117" i="18"/>
  <c r="J113" i="18"/>
  <c r="J109" i="18"/>
  <c r="H109" i="18" s="1"/>
  <c r="J105" i="18"/>
  <c r="H105" i="18" s="1"/>
  <c r="J101" i="18"/>
  <c r="J97" i="18"/>
  <c r="J93" i="18"/>
  <c r="J89" i="18"/>
  <c r="J85" i="18"/>
  <c r="J81" i="18"/>
  <c r="J77" i="18"/>
  <c r="J73" i="18"/>
  <c r="J69" i="18"/>
  <c r="J65" i="18"/>
  <c r="H65" i="18" s="1"/>
  <c r="J61" i="18"/>
  <c r="H61" i="18" s="1"/>
  <c r="J57" i="18"/>
  <c r="J132" i="18"/>
  <c r="J120" i="18"/>
  <c r="J116" i="18"/>
  <c r="H116" i="18" s="1"/>
  <c r="L138" i="18"/>
  <c r="L134" i="18"/>
  <c r="L130" i="18"/>
  <c r="L126" i="18"/>
  <c r="L122" i="18"/>
  <c r="L118" i="18"/>
  <c r="L114" i="18"/>
  <c r="L110" i="18"/>
  <c r="L106" i="18"/>
  <c r="L102" i="18"/>
  <c r="L98" i="18"/>
  <c r="J94" i="18"/>
  <c r="J90" i="18"/>
  <c r="H90" i="18" s="1"/>
  <c r="J86" i="18"/>
  <c r="J82" i="18"/>
  <c r="J78" i="18"/>
  <c r="J74" i="18"/>
  <c r="H74" i="18" s="1"/>
  <c r="J70" i="18"/>
  <c r="J66" i="18"/>
  <c r="J62" i="18"/>
  <c r="J58" i="18"/>
  <c r="H58" i="18" s="1"/>
  <c r="J128" i="18"/>
  <c r="J112" i="18"/>
  <c r="H112" i="18" s="1"/>
  <c r="L139" i="18"/>
  <c r="L135" i="18"/>
  <c r="L131" i="18"/>
  <c r="J127" i="18"/>
  <c r="J123" i="18"/>
  <c r="H123" i="18" s="1"/>
  <c r="J119" i="18"/>
  <c r="J115" i="18"/>
  <c r="L111" i="18"/>
  <c r="L107" i="18"/>
  <c r="L103" i="18"/>
  <c r="L99" i="18"/>
  <c r="L95" i="18"/>
  <c r="L91" i="18"/>
  <c r="L87" i="18"/>
  <c r="L83" i="18"/>
  <c r="L79" i="18"/>
  <c r="L75" i="18"/>
  <c r="L71" i="18"/>
  <c r="L67" i="18"/>
  <c r="L63" i="18"/>
  <c r="L59" i="18"/>
  <c r="L101" i="18"/>
  <c r="J139" i="18"/>
  <c r="J135" i="18"/>
  <c r="J137" i="18"/>
  <c r="J131" i="18"/>
  <c r="J133" i="18"/>
  <c r="L129" i="18"/>
  <c r="L127" i="18"/>
  <c r="L125" i="18"/>
  <c r="L123" i="18"/>
  <c r="L121" i="18"/>
  <c r="L119" i="18"/>
  <c r="L117" i="18"/>
  <c r="L115" i="18"/>
  <c r="L105" i="18"/>
  <c r="J103" i="18"/>
  <c r="J102" i="18"/>
  <c r="L109" i="18"/>
  <c r="J107" i="18"/>
  <c r="H107" i="18" s="1"/>
  <c r="J106" i="18"/>
  <c r="H106" i="18" s="1"/>
  <c r="L94" i="18"/>
  <c r="L90" i="18"/>
  <c r="L86" i="18"/>
  <c r="L82" i="18"/>
  <c r="L78" i="18"/>
  <c r="L74" i="18"/>
  <c r="L70" i="18"/>
  <c r="L66" i="18"/>
  <c r="L113" i="18"/>
  <c r="J111" i="18"/>
  <c r="J110" i="18"/>
  <c r="L97" i="18"/>
  <c r="J95" i="18"/>
  <c r="L93" i="18"/>
  <c r="J91" i="18"/>
  <c r="H91" i="18" s="1"/>
  <c r="L89" i="18"/>
  <c r="J87" i="18"/>
  <c r="L85" i="18"/>
  <c r="J83" i="18"/>
  <c r="H83" i="18" s="1"/>
  <c r="L81" i="18"/>
  <c r="J79" i="18"/>
  <c r="L77" i="18"/>
  <c r="J75" i="18"/>
  <c r="L73" i="18"/>
  <c r="J71" i="18"/>
  <c r="L69" i="18"/>
  <c r="J67" i="18"/>
  <c r="H67" i="18" s="1"/>
  <c r="J99" i="18"/>
  <c r="J98" i="18"/>
  <c r="L62" i="18"/>
  <c r="L58" i="18"/>
  <c r="L65" i="18"/>
  <c r="J63" i="18"/>
  <c r="L61" i="18"/>
  <c r="J59" i="18"/>
  <c r="H59" i="18" s="1"/>
  <c r="L57" i="18"/>
  <c r="J104" i="18"/>
  <c r="L104" i="18"/>
  <c r="J138" i="18"/>
  <c r="H138" i="18" s="1"/>
  <c r="L136" i="18"/>
  <c r="J134" i="18"/>
  <c r="L132" i="18"/>
  <c r="J130" i="18"/>
  <c r="H130" i="18" s="1"/>
  <c r="L128" i="18"/>
  <c r="J126" i="18"/>
  <c r="L124" i="18"/>
  <c r="J122" i="18"/>
  <c r="H122" i="18" s="1"/>
  <c r="L120" i="18"/>
  <c r="J118" i="18"/>
  <c r="L116" i="18"/>
  <c r="J114" i="18"/>
  <c r="H114" i="18" s="1"/>
  <c r="L112" i="18"/>
  <c r="J108" i="18"/>
  <c r="L108" i="18"/>
  <c r="J96" i="18"/>
  <c r="L96" i="18"/>
  <c r="J92" i="18"/>
  <c r="L92" i="18"/>
  <c r="J88" i="18"/>
  <c r="L88" i="18"/>
  <c r="J84" i="18"/>
  <c r="L84" i="18"/>
  <c r="J80" i="18"/>
  <c r="L80" i="18"/>
  <c r="J76" i="18"/>
  <c r="L76" i="18"/>
  <c r="J72" i="18"/>
  <c r="L72" i="18"/>
  <c r="J68" i="18"/>
  <c r="L68" i="18"/>
  <c r="J64" i="18"/>
  <c r="L64" i="18"/>
  <c r="J60" i="18"/>
  <c r="L60" i="18"/>
  <c r="J100" i="18"/>
  <c r="H100" i="18" s="1"/>
  <c r="L100" i="18"/>
  <c r="P5" i="21"/>
  <c r="Q5" i="21" s="1"/>
  <c r="R5" i="21" s="1"/>
  <c r="O11" i="18"/>
  <c r="P11" i="18" s="1"/>
  <c r="Q11" i="18" s="1"/>
  <c r="H97" i="18" l="1"/>
  <c r="M97" i="18" s="1"/>
  <c r="M136" i="18"/>
  <c r="H120" i="18"/>
  <c r="M120" i="18" s="1"/>
  <c r="H81" i="18"/>
  <c r="M81" i="18" s="1"/>
  <c r="M104" i="18"/>
  <c r="M79" i="18"/>
  <c r="M128" i="18"/>
  <c r="M69" i="18"/>
  <c r="M117" i="18"/>
  <c r="H66" i="18"/>
  <c r="M66" i="18" s="1"/>
  <c r="H82" i="18"/>
  <c r="M82" i="18" s="1"/>
  <c r="H98" i="18"/>
  <c r="M98" i="18" s="1"/>
  <c r="H85" i="18"/>
  <c r="M85" i="18" s="1"/>
  <c r="H101" i="18"/>
  <c r="M101" i="18" s="1"/>
  <c r="H127" i="18"/>
  <c r="M127" i="18" s="1"/>
  <c r="M99" i="18"/>
  <c r="M106" i="18"/>
  <c r="M119" i="18"/>
  <c r="M58" i="18"/>
  <c r="M74" i="18"/>
  <c r="M90" i="18"/>
  <c r="M57" i="18"/>
  <c r="M105" i="18"/>
  <c r="M121" i="18"/>
  <c r="H60" i="18"/>
  <c r="M60" i="18" s="1"/>
  <c r="H68" i="18"/>
  <c r="M68" i="18" s="1"/>
  <c r="H76" i="18"/>
  <c r="M76" i="18" s="1"/>
  <c r="H84" i="18"/>
  <c r="M84" i="18" s="1"/>
  <c r="H92" i="18"/>
  <c r="M92" i="18" s="1"/>
  <c r="H108" i="18"/>
  <c r="M108" i="18" s="1"/>
  <c r="H132" i="18"/>
  <c r="M132" i="18" s="1"/>
  <c r="H73" i="18"/>
  <c r="M73" i="18" s="1"/>
  <c r="H89" i="18"/>
  <c r="M89" i="18" s="1"/>
  <c r="H131" i="18"/>
  <c r="M131" i="18" s="1"/>
  <c r="H71" i="18"/>
  <c r="M71" i="18" s="1"/>
  <c r="H87" i="18"/>
  <c r="M87" i="18" s="1"/>
  <c r="H129" i="18"/>
  <c r="M129" i="18" s="1"/>
  <c r="H103" i="18"/>
  <c r="M103" i="18" s="1"/>
  <c r="H133" i="18"/>
  <c r="M133" i="18" s="1"/>
  <c r="M112" i="18"/>
  <c r="M65" i="18"/>
  <c r="M100" i="18"/>
  <c r="M64" i="18"/>
  <c r="M72" i="18"/>
  <c r="M80" i="18"/>
  <c r="M88" i="18"/>
  <c r="M96" i="18"/>
  <c r="M114" i="18"/>
  <c r="M122" i="18"/>
  <c r="M130" i="18"/>
  <c r="M138" i="18"/>
  <c r="M59" i="18"/>
  <c r="M67" i="18"/>
  <c r="M83" i="18"/>
  <c r="M91" i="18"/>
  <c r="M107" i="18"/>
  <c r="M123" i="18"/>
  <c r="M116" i="18"/>
  <c r="M61" i="18"/>
  <c r="M109" i="18"/>
  <c r="M125" i="18"/>
  <c r="M124" i="18"/>
  <c r="H62" i="18"/>
  <c r="M62" i="18" s="1"/>
  <c r="H70" i="18"/>
  <c r="M70" i="18" s="1"/>
  <c r="H78" i="18"/>
  <c r="M78" i="18" s="1"/>
  <c r="H86" i="18"/>
  <c r="M86" i="18" s="1"/>
  <c r="H94" i="18"/>
  <c r="M94" i="18" s="1"/>
  <c r="H102" i="18"/>
  <c r="M102" i="18" s="1"/>
  <c r="H110" i="18"/>
  <c r="M110" i="18" s="1"/>
  <c r="H118" i="18"/>
  <c r="M118" i="18" s="1"/>
  <c r="H126" i="18"/>
  <c r="M126" i="18" s="1"/>
  <c r="H134" i="18"/>
  <c r="M134" i="18" s="1"/>
  <c r="H77" i="18"/>
  <c r="M77" i="18" s="1"/>
  <c r="H95" i="18"/>
  <c r="M95" i="18" s="1"/>
  <c r="H115" i="18"/>
  <c r="M115" i="18" s="1"/>
  <c r="H135" i="18"/>
  <c r="M135" i="18" s="1"/>
  <c r="H63" i="18"/>
  <c r="M63" i="18" s="1"/>
  <c r="H75" i="18"/>
  <c r="M75" i="18" s="1"/>
  <c r="H93" i="18"/>
  <c r="M93" i="18" s="1"/>
  <c r="H113" i="18"/>
  <c r="M113" i="18" s="1"/>
  <c r="H137" i="18"/>
  <c r="M137" i="18" s="1"/>
  <c r="H111" i="18"/>
  <c r="M111" i="18" s="1"/>
  <c r="H139" i="18"/>
  <c r="M139" i="18" s="1"/>
  <c r="X69" i="22"/>
  <c r="S66" i="22"/>
  <c r="T66" i="22" s="1"/>
  <c r="K22" i="18"/>
  <c r="I23" i="18"/>
  <c r="I14" i="18"/>
  <c r="H14" i="18" s="1"/>
  <c r="I32" i="18"/>
  <c r="H32" i="18" s="1"/>
  <c r="I24" i="18"/>
  <c r="H24" i="18" s="1"/>
  <c r="I37" i="18"/>
  <c r="H37" i="18" s="1"/>
  <c r="I12" i="18"/>
  <c r="H12" i="18" s="1"/>
  <c r="I27" i="18"/>
  <c r="H27" i="18" s="1"/>
  <c r="I33" i="18"/>
  <c r="H33" i="18" s="1"/>
  <c r="I29" i="18"/>
  <c r="H29" i="18" s="1"/>
  <c r="I15" i="18"/>
  <c r="H15" i="18" s="1"/>
  <c r="H23" i="18" l="1"/>
  <c r="L23" i="18"/>
  <c r="AM69" i="22"/>
  <c r="Y69" i="22"/>
  <c r="Z69" i="22"/>
  <c r="U66" i="22"/>
  <c r="V69" i="22" s="1"/>
  <c r="W69" i="22" s="1"/>
  <c r="L27" i="18"/>
  <c r="M27" i="18"/>
  <c r="L32" i="18"/>
  <c r="K56" i="18"/>
  <c r="I52" i="18"/>
  <c r="I48" i="18"/>
  <c r="L15" i="18"/>
  <c r="M15" i="18"/>
  <c r="L14" i="18"/>
  <c r="M14" i="18"/>
  <c r="K51" i="18"/>
  <c r="I47" i="18"/>
  <c r="L29" i="18"/>
  <c r="M29" i="18"/>
  <c r="L37" i="18"/>
  <c r="M37" i="18"/>
  <c r="L12" i="18"/>
  <c r="L33" i="18"/>
  <c r="M33" i="18"/>
  <c r="L24" i="18"/>
  <c r="M24" i="18"/>
  <c r="K49" i="18"/>
  <c r="I45" i="18"/>
  <c r="I41" i="18"/>
  <c r="I43" i="18"/>
  <c r="K47" i="18"/>
  <c r="K55" i="18"/>
  <c r="I53" i="18"/>
  <c r="K48" i="18"/>
  <c r="K53" i="18"/>
  <c r="K46" i="18"/>
  <c r="I49" i="18"/>
  <c r="I56" i="18"/>
  <c r="K54" i="18"/>
  <c r="K52" i="18"/>
  <c r="I51" i="18"/>
  <c r="K43" i="18"/>
  <c r="I22" i="18"/>
  <c r="H22" i="18" s="1"/>
  <c r="I55" i="18"/>
  <c r="I42" i="18"/>
  <c r="I31" i="18"/>
  <c r="H31" i="18" s="1"/>
  <c r="I40" i="18"/>
  <c r="K50" i="18"/>
  <c r="K44" i="18"/>
  <c r="K42" i="18"/>
  <c r="K41" i="18"/>
  <c r="K45" i="18"/>
  <c r="I44" i="18"/>
  <c r="K40" i="18"/>
  <c r="I54" i="18"/>
  <c r="I50" i="18"/>
  <c r="I46" i="18"/>
  <c r="I35" i="18"/>
  <c r="H35" i="18" s="1"/>
  <c r="K25" i="18"/>
  <c r="K39" i="18"/>
  <c r="K15" i="18"/>
  <c r="K16" i="18"/>
  <c r="K31" i="18"/>
  <c r="K23" i="18"/>
  <c r="K21" i="18"/>
  <c r="K35" i="18"/>
  <c r="K34" i="18"/>
  <c r="K27" i="18"/>
  <c r="K24" i="18"/>
  <c r="K20" i="18"/>
  <c r="K30" i="18"/>
  <c r="K36" i="18"/>
  <c r="K38" i="18"/>
  <c r="K29" i="18"/>
  <c r="K12" i="18"/>
  <c r="K32" i="18"/>
  <c r="K19" i="18"/>
  <c r="K26" i="18"/>
  <c r="K28" i="18"/>
  <c r="K33" i="18"/>
  <c r="K37" i="18"/>
  <c r="K14" i="18"/>
  <c r="I36" i="18"/>
  <c r="H36" i="18" s="1"/>
  <c r="I16" i="18"/>
  <c r="H16" i="18" s="1"/>
  <c r="I26" i="18"/>
  <c r="H26" i="18" s="1"/>
  <c r="I28" i="18"/>
  <c r="H28" i="18" s="1"/>
  <c r="I20" i="18"/>
  <c r="H20" i="18" s="1"/>
  <c r="I30" i="18"/>
  <c r="H30" i="18" s="1"/>
  <c r="I39" i="18"/>
  <c r="H39" i="18" s="1"/>
  <c r="I34" i="18"/>
  <c r="H34" i="18" s="1"/>
  <c r="I25" i="18"/>
  <c r="H25" i="18" s="1"/>
  <c r="I17" i="18"/>
  <c r="H17" i="18" s="1"/>
  <c r="I38" i="18"/>
  <c r="H38" i="18" s="1"/>
  <c r="I18" i="18"/>
  <c r="H18" i="18" s="1"/>
  <c r="I19" i="18"/>
  <c r="H19" i="18" s="1"/>
  <c r="I21" i="18"/>
  <c r="H21" i="18" s="1"/>
  <c r="M32" i="18" l="1"/>
  <c r="O32" i="18" s="1"/>
  <c r="P32" i="18" s="1"/>
  <c r="Q32" i="18" s="1"/>
  <c r="L56" i="18"/>
  <c r="L46" i="18"/>
  <c r="L44" i="18"/>
  <c r="L42" i="18"/>
  <c r="L51" i="18"/>
  <c r="L49" i="18"/>
  <c r="L53" i="18"/>
  <c r="L43" i="18"/>
  <c r="L47" i="18"/>
  <c r="M23" i="18"/>
  <c r="O23" i="18" s="1"/>
  <c r="P23" i="18" s="1"/>
  <c r="Q23" i="18" s="1"/>
  <c r="R23" i="18" s="1"/>
  <c r="L50" i="18"/>
  <c r="L55" i="18"/>
  <c r="L41" i="18"/>
  <c r="L48" i="18"/>
  <c r="M12" i="18"/>
  <c r="O12" i="18" s="1"/>
  <c r="P12" i="18" s="1"/>
  <c r="Q12" i="18" s="1"/>
  <c r="R12" i="18" s="1"/>
  <c r="L54" i="18"/>
  <c r="L40" i="18"/>
  <c r="L45" i="18"/>
  <c r="L52" i="18"/>
  <c r="J48" i="18"/>
  <c r="H48" i="18" s="1"/>
  <c r="AA69" i="22"/>
  <c r="V66" i="22"/>
  <c r="J52" i="18"/>
  <c r="H52" i="18" s="1"/>
  <c r="L19" i="18"/>
  <c r="M19" i="18"/>
  <c r="L18" i="18"/>
  <c r="M18" i="18"/>
  <c r="L28" i="18"/>
  <c r="M28" i="18"/>
  <c r="L22" i="18"/>
  <c r="M22" i="18"/>
  <c r="J53" i="18"/>
  <c r="H53" i="18" s="1"/>
  <c r="L25" i="18"/>
  <c r="M25" i="18"/>
  <c r="L20" i="18"/>
  <c r="M20" i="18"/>
  <c r="L38" i="18"/>
  <c r="M38" i="18"/>
  <c r="L39" i="18"/>
  <c r="M39" i="18"/>
  <c r="L26" i="18"/>
  <c r="L31" i="18"/>
  <c r="M31" i="18"/>
  <c r="J46" i="18"/>
  <c r="H46" i="18" s="1"/>
  <c r="J47" i="18"/>
  <c r="J55" i="18"/>
  <c r="L34" i="18"/>
  <c r="L21" i="18"/>
  <c r="M21" i="18"/>
  <c r="L17" i="18"/>
  <c r="M17" i="18"/>
  <c r="L30" i="18"/>
  <c r="M30" i="18"/>
  <c r="L16" i="18"/>
  <c r="M16" i="18"/>
  <c r="L35" i="18"/>
  <c r="M35" i="18"/>
  <c r="J45" i="18"/>
  <c r="J49" i="18"/>
  <c r="H49" i="18" s="1"/>
  <c r="J54" i="18"/>
  <c r="J56" i="18"/>
  <c r="H56" i="18" s="1"/>
  <c r="L36" i="18"/>
  <c r="M36" i="18"/>
  <c r="J51" i="18"/>
  <c r="J43" i="18"/>
  <c r="J42" i="18"/>
  <c r="J40" i="18"/>
  <c r="H40" i="18" s="1"/>
  <c r="J50" i="18"/>
  <c r="H50" i="18" s="1"/>
  <c r="J41" i="18"/>
  <c r="J44" i="18"/>
  <c r="K13" i="18"/>
  <c r="I13" i="18"/>
  <c r="H13" i="18" s="1"/>
  <c r="M55" i="18" l="1"/>
  <c r="H55" i="18"/>
  <c r="H44" i="18"/>
  <c r="M44" i="18" s="1"/>
  <c r="M56" i="18"/>
  <c r="M47" i="18"/>
  <c r="M50" i="18"/>
  <c r="M46" i="18"/>
  <c r="M53" i="18"/>
  <c r="M48" i="18"/>
  <c r="H47" i="18"/>
  <c r="H51" i="18"/>
  <c r="M51" i="18" s="1"/>
  <c r="M40" i="18"/>
  <c r="M49" i="18"/>
  <c r="M52" i="18"/>
  <c r="H45" i="18"/>
  <c r="M45" i="18" s="1"/>
  <c r="H41" i="18"/>
  <c r="M41" i="18" s="1"/>
  <c r="H42" i="18"/>
  <c r="M42" i="18" s="1"/>
  <c r="H43" i="18"/>
  <c r="M43" i="18" s="1"/>
  <c r="H54" i="18"/>
  <c r="M54" i="18" s="1"/>
  <c r="M26" i="18"/>
  <c r="F4" i="18"/>
  <c r="M34" i="18"/>
  <c r="G2" i="18"/>
  <c r="F2" i="18"/>
  <c r="G4" i="18"/>
  <c r="AB69" i="22"/>
  <c r="W66" i="22"/>
  <c r="L13" i="18"/>
  <c r="M13" i="18" l="1"/>
  <c r="G3" i="18"/>
  <c r="F3" i="18"/>
  <c r="AC69" i="22"/>
  <c r="X66" i="22"/>
  <c r="I8" i="5"/>
  <c r="Y66" i="22" l="1"/>
  <c r="AE69" i="22" s="1"/>
  <c r="AD69" i="22"/>
  <c r="Z66" i="22" l="1"/>
  <c r="AF69" i="22" s="1"/>
  <c r="AA66" i="22"/>
  <c r="AB66" i="22" l="1"/>
  <c r="AG69" i="22"/>
  <c r="AC66" i="22" l="1"/>
  <c r="AH69" i="22"/>
  <c r="AD66" i="22" l="1"/>
  <c r="AI69" i="22"/>
  <c r="AE66" i="22" l="1"/>
  <c r="AJ69" i="22"/>
  <c r="AF66" i="22" l="1"/>
  <c r="AK69" i="22"/>
  <c r="AG66" i="22" l="1"/>
  <c r="AH66" i="22" s="1"/>
  <c r="AI66" i="22" s="1"/>
  <c r="AJ66" i="22" s="1"/>
  <c r="AK66" i="22" s="1"/>
  <c r="AL66" i="22" s="1"/>
  <c r="AM66" i="22" s="1"/>
  <c r="AN66" i="22" s="1"/>
  <c r="AO66" i="22" s="1"/>
  <c r="AP66" i="22" s="1"/>
  <c r="AQ66" i="22" s="1"/>
  <c r="AR66" i="22" s="1"/>
  <c r="AS66" i="22" s="1"/>
  <c r="AT66" i="22" s="1"/>
  <c r="AU66" i="22" s="1"/>
  <c r="AV66" i="22" s="1"/>
  <c r="AW66" i="22" s="1"/>
  <c r="AX66" i="22" s="1"/>
  <c r="AY66" i="22" s="1"/>
  <c r="AZ66" i="22" s="1"/>
  <c r="BA66" i="22" s="1"/>
  <c r="BB66" i="22" s="1"/>
  <c r="BC66" i="22" s="1"/>
  <c r="BD66" i="22" s="1"/>
  <c r="BE66" i="22" s="1"/>
  <c r="BF66" i="22" s="1"/>
  <c r="BG66" i="22" s="1"/>
  <c r="BH66" i="22" s="1"/>
  <c r="BI66" i="22" s="1"/>
  <c r="BJ66" i="22" s="1"/>
  <c r="BK66" i="22" s="1"/>
  <c r="BL66" i="22" s="1"/>
  <c r="BM66" i="22" s="1"/>
  <c r="BN66" i="22" s="1"/>
  <c r="BO66" i="22" s="1"/>
  <c r="BP66" i="22" s="1"/>
  <c r="BQ66" i="22" s="1"/>
  <c r="BR66" i="22" s="1"/>
  <c r="BS66" i="22" s="1"/>
  <c r="BT66" i="22" s="1"/>
  <c r="BU66" i="22" s="1"/>
  <c r="BV66" i="22" s="1"/>
  <c r="BW66" i="22" s="1"/>
  <c r="BX66" i="22" s="1"/>
  <c r="BY66" i="22" s="1"/>
  <c r="BZ66" i="22" s="1"/>
  <c r="AL69" i="22"/>
  <c r="I15" i="5" l="1"/>
  <c r="I52" i="5" l="1"/>
  <c r="H52" i="5"/>
  <c r="I51" i="5"/>
  <c r="H51" i="5"/>
  <c r="I50" i="5"/>
  <c r="H50" i="5"/>
  <c r="I49" i="5"/>
  <c r="H49" i="5"/>
  <c r="I48" i="5"/>
  <c r="H48" i="5"/>
  <c r="I47" i="5"/>
  <c r="H47" i="5"/>
  <c r="I46" i="5"/>
  <c r="H46" i="5"/>
  <c r="I45" i="5"/>
  <c r="H45" i="5"/>
  <c r="I44" i="5"/>
  <c r="H44" i="5"/>
  <c r="I43" i="5"/>
  <c r="H43" i="5"/>
  <c r="I42" i="5"/>
  <c r="H42" i="5"/>
  <c r="I41" i="5"/>
  <c r="H41" i="5"/>
  <c r="I40" i="5"/>
  <c r="H40" i="5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H8" i="5"/>
  <c r="N13" i="18" l="1"/>
  <c r="O13" i="18" s="1"/>
  <c r="P13" i="18" s="1"/>
  <c r="Q13" i="18" s="1"/>
  <c r="R13" i="18" l="1"/>
  <c r="BO13" i="18"/>
  <c r="AG13" i="18"/>
  <c r="AR13" i="18"/>
  <c r="AO13" i="18"/>
  <c r="BX13" i="18"/>
  <c r="AP13" i="18"/>
  <c r="BV13" i="18"/>
  <c r="AU13" i="18"/>
  <c r="CA13" i="18"/>
  <c r="AV13" i="18"/>
  <c r="BD13" i="18"/>
  <c r="AQ13" i="18"/>
  <c r="Y13" i="18"/>
  <c r="AZ13" i="18"/>
  <c r="AT13" i="18"/>
  <c r="BB13" i="18"/>
  <c r="BY13" i="18"/>
  <c r="BC13" i="18"/>
  <c r="BM13" i="18"/>
  <c r="AJ13" i="18"/>
  <c r="X13" i="18"/>
  <c r="AS13" i="18"/>
  <c r="BT13" i="18"/>
  <c r="AW13" i="18"/>
  <c r="BW13" i="18"/>
  <c r="BJ13" i="18"/>
  <c r="AE13" i="18"/>
  <c r="V13" i="18"/>
  <c r="Z13" i="18"/>
  <c r="AY13" i="18"/>
  <c r="AN13" i="18"/>
  <c r="BU13" i="18"/>
  <c r="AD13" i="18"/>
  <c r="BK13" i="18"/>
  <c r="AX13" i="18"/>
  <c r="AM13" i="18"/>
  <c r="AK13" i="18"/>
  <c r="BL13" i="18"/>
  <c r="AH13" i="18"/>
  <c r="BS13" i="18"/>
  <c r="T13" i="18"/>
  <c r="AA13" i="18"/>
  <c r="BP13" i="18"/>
  <c r="AF13" i="18"/>
  <c r="BZ13" i="18"/>
  <c r="S13" i="18"/>
  <c r="W13" i="18"/>
  <c r="BH13" i="18"/>
  <c r="BF13" i="18"/>
  <c r="AL13" i="18"/>
  <c r="BN13" i="18"/>
  <c r="BI13" i="18"/>
  <c r="BG13" i="18"/>
  <c r="AI13" i="18"/>
  <c r="BQ13" i="18"/>
  <c r="AB13" i="18"/>
  <c r="AC13" i="18"/>
  <c r="U13" i="18"/>
  <c r="BA13" i="18"/>
  <c r="BE13" i="18"/>
  <c r="BR13" i="18"/>
  <c r="X12" i="18"/>
  <c r="BD12" i="18"/>
  <c r="BI12" i="18"/>
  <c r="Y12" i="18"/>
  <c r="BC12" i="18"/>
  <c r="BF12" i="18"/>
  <c r="AI12" i="18"/>
  <c r="BJ12" i="18"/>
  <c r="AZ12" i="18"/>
  <c r="AJ12" i="18"/>
  <c r="AY12" i="18"/>
  <c r="AU12" i="18"/>
  <c r="BU12" i="18"/>
  <c r="BQ12" i="18"/>
  <c r="CA12" i="18"/>
  <c r="BW12" i="18"/>
  <c r="BB12" i="18"/>
  <c r="AK12" i="18"/>
  <c r="BH12" i="18"/>
  <c r="AH12" i="18"/>
  <c r="BA12" i="18"/>
  <c r="AE12" i="18"/>
  <c r="BM12" i="18"/>
  <c r="BP12" i="18"/>
  <c r="AA12" i="18"/>
  <c r="AS12" i="18"/>
  <c r="AX12" i="18"/>
  <c r="U12" i="18"/>
  <c r="BT12" i="18"/>
  <c r="BZ12" i="18"/>
  <c r="AR12" i="18"/>
  <c r="BK12" i="18"/>
  <c r="AM12" i="18"/>
  <c r="Z12" i="18"/>
  <c r="AT12" i="18"/>
  <c r="BE12" i="18"/>
  <c r="AG12" i="18"/>
  <c r="BL12" i="18"/>
  <c r="S12" i="18"/>
  <c r="AF12" i="18"/>
  <c r="BG12" i="18"/>
  <c r="AW12" i="18"/>
  <c r="BS12" i="18"/>
  <c r="BO12" i="18"/>
  <c r="BY12" i="18"/>
  <c r="AP12" i="18"/>
  <c r="AO12" i="18"/>
  <c r="AC12" i="18"/>
  <c r="BN12" i="18"/>
  <c r="AD12" i="18"/>
  <c r="T12" i="18"/>
  <c r="BX12" i="18"/>
  <c r="W12" i="18"/>
  <c r="AN12" i="18"/>
  <c r="AV12" i="18"/>
  <c r="AB12" i="18"/>
  <c r="AL12" i="18"/>
  <c r="AQ12" i="18"/>
  <c r="BV12" i="18"/>
  <c r="V12" i="18"/>
  <c r="BR12" i="18"/>
  <c r="N14" i="18" l="1"/>
  <c r="O14" i="18" s="1"/>
  <c r="P14" i="18" s="1"/>
  <c r="Q14" i="18" s="1"/>
  <c r="BC14" i="18" l="1"/>
  <c r="AH14" i="18"/>
  <c r="AB14" i="18"/>
  <c r="AJ14" i="18"/>
  <c r="AT14" i="18"/>
  <c r="Z14" i="18"/>
  <c r="BK14" i="18"/>
  <c r="AP14" i="18"/>
  <c r="V14" i="18"/>
  <c r="BG14" i="18"/>
  <c r="AL14" i="18"/>
  <c r="R14" i="18"/>
  <c r="BY14" i="18"/>
  <c r="BT14" i="18"/>
  <c r="BQ14" i="18"/>
  <c r="AX14" i="18"/>
  <c r="BJ14" i="18"/>
  <c r="BF14" i="18"/>
  <c r="BB14" i="18"/>
  <c r="BN14" i="18"/>
  <c r="BL14" i="18"/>
  <c r="AM14" i="18"/>
  <c r="BM14" i="18"/>
  <c r="AA14" i="18"/>
  <c r="AY14" i="18"/>
  <c r="AD14" i="18"/>
  <c r="AC14" i="18"/>
  <c r="AU14" i="18"/>
  <c r="W14" i="18"/>
  <c r="AR14" i="18"/>
  <c r="AQ14" i="18"/>
  <c r="S14" i="18"/>
  <c r="BV14" i="18"/>
  <c r="BX14" i="18"/>
  <c r="BS14" i="18"/>
  <c r="BP14" i="18"/>
  <c r="BD14" i="18"/>
  <c r="AO14" i="18"/>
  <c r="BZ14" i="18"/>
  <c r="AV14" i="18"/>
  <c r="T14" i="18"/>
  <c r="AW14" i="18"/>
  <c r="AF14" i="18"/>
  <c r="AI14" i="18"/>
  <c r="BI14" i="18"/>
  <c r="BH14" i="18"/>
  <c r="AE14" i="18"/>
  <c r="BE14" i="18"/>
  <c r="Y14" i="18"/>
  <c r="X14" i="18"/>
  <c r="BA14" i="18"/>
  <c r="CA14" i="18"/>
  <c r="BW14" i="18"/>
  <c r="BR14" i="18"/>
  <c r="BO14" i="18"/>
  <c r="AZ14" i="18"/>
  <c r="AG14" i="18"/>
  <c r="AS14" i="18"/>
  <c r="AN14" i="18"/>
  <c r="U14" i="18"/>
  <c r="AK14" i="18"/>
  <c r="BU14" i="18"/>
  <c r="N15" i="18" l="1"/>
  <c r="O15" i="18" s="1"/>
  <c r="P15" i="18" s="1"/>
  <c r="Q15" i="18" s="1"/>
  <c r="N16" i="18" s="1"/>
  <c r="O16" i="18" s="1"/>
  <c r="P16" i="18" s="1"/>
  <c r="Q16" i="18" s="1"/>
  <c r="N17" i="18" s="1"/>
  <c r="O17" i="18" s="1"/>
  <c r="P17" i="18" s="1"/>
  <c r="Q17" i="18" s="1"/>
  <c r="N18" i="18" s="1"/>
  <c r="O18" i="18" s="1"/>
  <c r="P18" i="18" s="1"/>
  <c r="Q18" i="18" s="1"/>
  <c r="N19" i="18" s="1"/>
  <c r="O19" i="18" s="1"/>
  <c r="P19" i="18" s="1"/>
  <c r="Q19" i="18" s="1"/>
  <c r="N20" i="18" s="1"/>
  <c r="O20" i="18" s="1"/>
  <c r="P20" i="18" s="1"/>
  <c r="Q20" i="18" s="1"/>
  <c r="N21" i="18" l="1"/>
  <c r="O21" i="18" s="1"/>
  <c r="P21" i="18" s="1"/>
  <c r="Q21" i="18" s="1"/>
  <c r="BU15" i="18"/>
  <c r="BQ15" i="18"/>
  <c r="CA15" i="18"/>
  <c r="BW15" i="18"/>
  <c r="AX15" i="18"/>
  <c r="AE15" i="18"/>
  <c r="BK15" i="18"/>
  <c r="AT15" i="18"/>
  <c r="AA15" i="18"/>
  <c r="AU15" i="18"/>
  <c r="AP15" i="18"/>
  <c r="W15" i="18"/>
  <c r="AI15" i="18"/>
  <c r="BB15" i="18"/>
  <c r="AK15" i="18"/>
  <c r="AH15" i="18"/>
  <c r="BT15" i="18"/>
  <c r="BP15" i="18"/>
  <c r="BZ15" i="18"/>
  <c r="BG15" i="18"/>
  <c r="AF15" i="18"/>
  <c r="BH15" i="18"/>
  <c r="AQ15" i="18"/>
  <c r="AB15" i="18"/>
  <c r="BD15" i="18"/>
  <c r="Y15" i="18"/>
  <c r="X15" i="18"/>
  <c r="AZ15" i="18"/>
  <c r="AC15" i="18"/>
  <c r="AL15" i="18"/>
  <c r="S15" i="18"/>
  <c r="BS15" i="18"/>
  <c r="BO15" i="18"/>
  <c r="BY15" i="18"/>
  <c r="AM15" i="18"/>
  <c r="BM15" i="18"/>
  <c r="AR15" i="18"/>
  <c r="U15" i="18"/>
  <c r="BI15" i="18"/>
  <c r="AN15" i="18"/>
  <c r="BL15" i="18"/>
  <c r="BE15" i="18"/>
  <c r="AJ15" i="18"/>
  <c r="BC15" i="18"/>
  <c r="T15" i="18"/>
  <c r="AV15" i="18"/>
  <c r="BX15" i="18"/>
  <c r="BJ15" i="18"/>
  <c r="AO15" i="18"/>
  <c r="AD15" i="18"/>
  <c r="BV15" i="18"/>
  <c r="AG15" i="18"/>
  <c r="AS15" i="18"/>
  <c r="R15" i="18"/>
  <c r="BR15" i="18"/>
  <c r="AW15" i="18"/>
  <c r="V15" i="18"/>
  <c r="AY15" i="18"/>
  <c r="BN15" i="18"/>
  <c r="Z15" i="18"/>
  <c r="BF15" i="18"/>
  <c r="BA15" i="18"/>
  <c r="N22" i="18" l="1"/>
  <c r="O22" i="18" s="1"/>
  <c r="P22" i="18" s="1"/>
  <c r="Q22" i="18" s="1"/>
  <c r="BC16" i="18"/>
  <c r="U16" i="18"/>
  <c r="AR16" i="18"/>
  <c r="S16" i="18"/>
  <c r="AH16" i="18"/>
  <c r="AN16" i="18"/>
  <c r="BG16" i="18"/>
  <c r="BF16" i="18"/>
  <c r="BH16" i="18"/>
  <c r="BB16" i="18"/>
  <c r="AE16" i="18"/>
  <c r="V16" i="18"/>
  <c r="BU16" i="18"/>
  <c r="BQ16" i="18"/>
  <c r="CA16" i="18"/>
  <c r="BW16" i="18"/>
  <c r="AD16" i="18"/>
  <c r="AB16" i="18"/>
  <c r="BM16" i="18"/>
  <c r="X16" i="18"/>
  <c r="AC16" i="18"/>
  <c r="AO16" i="18"/>
  <c r="BD16" i="18"/>
  <c r="BP16" i="18"/>
  <c r="AM16" i="18"/>
  <c r="BJ16" i="18"/>
  <c r="AU16" i="18"/>
  <c r="AJ16" i="18"/>
  <c r="AS16" i="18"/>
  <c r="BT16" i="18"/>
  <c r="BZ16" i="18"/>
  <c r="Z16" i="18"/>
  <c r="R16" i="18"/>
  <c r="BA16" i="18"/>
  <c r="BI16" i="18"/>
  <c r="AG16" i="18"/>
  <c r="AV16" i="18"/>
  <c r="AT16" i="18"/>
  <c r="BE16" i="18"/>
  <c r="T16" i="18"/>
  <c r="AK16" i="18"/>
  <c r="W16" i="18"/>
  <c r="AF16" i="18"/>
  <c r="BS16" i="18"/>
  <c r="BO16" i="18"/>
  <c r="BY16" i="18"/>
  <c r="Y16" i="18"/>
  <c r="BL16" i="18"/>
  <c r="AW16" i="18"/>
  <c r="BN16" i="18"/>
  <c r="AL16" i="18"/>
  <c r="AI16" i="18"/>
  <c r="BV16" i="18"/>
  <c r="AY16" i="18"/>
  <c r="BR16" i="18"/>
  <c r="AZ16" i="18"/>
  <c r="AA16" i="18"/>
  <c r="AX16" i="18"/>
  <c r="AP16" i="18"/>
  <c r="AQ16" i="18"/>
  <c r="BX16" i="18"/>
  <c r="BK16" i="18"/>
  <c r="S17" i="18" l="1"/>
  <c r="BJ17" i="18"/>
  <c r="AS17" i="18"/>
  <c r="BL17" i="18"/>
  <c r="BF17" i="18"/>
  <c r="AN17" i="18"/>
  <c r="AZ17" i="18"/>
  <c r="V17" i="18"/>
  <c r="BA17" i="18"/>
  <c r="AM17" i="18"/>
  <c r="AH17" i="18"/>
  <c r="BM17" i="18"/>
  <c r="BU17" i="18"/>
  <c r="BQ17" i="18"/>
  <c r="CA17" i="18"/>
  <c r="BW17" i="18"/>
  <c r="BH17" i="18"/>
  <c r="Z17" i="18"/>
  <c r="AL17" i="18"/>
  <c r="AO17" i="18"/>
  <c r="BR17" i="18"/>
  <c r="BK17" i="18"/>
  <c r="AT17" i="18"/>
  <c r="AB17" i="18"/>
  <c r="BG17" i="18"/>
  <c r="AP17" i="18"/>
  <c r="X17" i="18"/>
  <c r="AV17" i="18"/>
  <c r="BB17" i="18"/>
  <c r="AJ17" i="18"/>
  <c r="AI17" i="18"/>
  <c r="R17" i="18"/>
  <c r="AW17" i="18"/>
  <c r="BT17" i="18"/>
  <c r="BP17" i="18"/>
  <c r="BZ17" i="18"/>
  <c r="BI17" i="18"/>
  <c r="AR17" i="18"/>
  <c r="AG17" i="18"/>
  <c r="BN17" i="18"/>
  <c r="AU17" i="18"/>
  <c r="AC17" i="18"/>
  <c r="W17" i="18"/>
  <c r="AQ17" i="18"/>
  <c r="Y17" i="18"/>
  <c r="BD17" i="18"/>
  <c r="BC17" i="18"/>
  <c r="AK17" i="18"/>
  <c r="T17" i="18"/>
  <c r="AE17" i="18"/>
  <c r="AX17" i="18"/>
  <c r="AF17" i="18"/>
  <c r="BS17" i="18"/>
  <c r="BO17" i="18"/>
  <c r="BY17" i="18"/>
  <c r="AD17" i="18"/>
  <c r="AA17" i="18"/>
  <c r="BE17" i="18"/>
  <c r="U17" i="18"/>
  <c r="AY17" i="18"/>
  <c r="BV17" i="18"/>
  <c r="BX17" i="18"/>
  <c r="N24" i="18" l="1"/>
  <c r="O24" i="18" s="1"/>
  <c r="P24" i="18" s="1"/>
  <c r="Q24" i="18" s="1"/>
  <c r="BQ18" i="18"/>
  <c r="CA18" i="18"/>
  <c r="BW18" i="18"/>
  <c r="BS18" i="18"/>
  <c r="BI18" i="18"/>
  <c r="T18" i="18"/>
  <c r="BF18" i="18"/>
  <c r="BD18" i="18"/>
  <c r="BK18" i="18"/>
  <c r="AN18" i="18"/>
  <c r="W18" i="18"/>
  <c r="AE18" i="18"/>
  <c r="BL18" i="18"/>
  <c r="R18" i="18"/>
  <c r="Z18" i="18"/>
  <c r="BE18" i="18"/>
  <c r="BP18" i="18"/>
  <c r="BZ18" i="18"/>
  <c r="BR18" i="18"/>
  <c r="S18" i="18"/>
  <c r="AL18" i="18"/>
  <c r="AY18" i="18"/>
  <c r="AV18" i="18"/>
  <c r="AF18" i="18"/>
  <c r="AU18" i="18"/>
  <c r="AI18" i="18"/>
  <c r="AX18" i="18"/>
  <c r="BG18" i="18"/>
  <c r="BA18" i="18"/>
  <c r="AS18" i="18"/>
  <c r="BC18" i="18"/>
  <c r="BO18" i="18"/>
  <c r="BY18" i="18"/>
  <c r="BU18" i="18"/>
  <c r="AD18" i="18"/>
  <c r="BM18" i="18"/>
  <c r="AG18" i="18"/>
  <c r="AZ18" i="18"/>
  <c r="BH18" i="18"/>
  <c r="AC18" i="18"/>
  <c r="AP18" i="18"/>
  <c r="AA18" i="18"/>
  <c r="AQ18" i="18"/>
  <c r="BJ18" i="18"/>
  <c r="V18" i="18"/>
  <c r="AK18" i="18"/>
  <c r="BV18" i="18"/>
  <c r="AR18" i="18"/>
  <c r="X18" i="18"/>
  <c r="AM18" i="18"/>
  <c r="BX18" i="18"/>
  <c r="AO18" i="18"/>
  <c r="AT18" i="18"/>
  <c r="AW18" i="18"/>
  <c r="BT18" i="18"/>
  <c r="AB18" i="18"/>
  <c r="BB18" i="18"/>
  <c r="U18" i="18"/>
  <c r="BN18" i="18"/>
  <c r="AH18" i="18"/>
  <c r="AJ18" i="18"/>
  <c r="Y18" i="18"/>
  <c r="N25" i="18" l="1"/>
  <c r="O25" i="18" s="1"/>
  <c r="P25" i="18" s="1"/>
  <c r="Q25" i="18" s="1"/>
  <c r="BX19" i="18"/>
  <c r="BW19" i="18"/>
  <c r="BS19" i="18"/>
  <c r="BC19" i="18"/>
  <c r="AF19" i="18"/>
  <c r="X19" i="18"/>
  <c r="AZ19" i="18"/>
  <c r="AA19" i="18"/>
  <c r="S19" i="18"/>
  <c r="BA19" i="18"/>
  <c r="U19" i="18"/>
  <c r="BK19" i="18"/>
  <c r="AY19" i="18"/>
  <c r="BI19" i="18"/>
  <c r="BG19" i="18"/>
  <c r="BY19" i="18"/>
  <c r="BD19" i="18"/>
  <c r="AS19" i="18"/>
  <c r="AW19" i="18"/>
  <c r="AI19" i="18"/>
  <c r="AC19" i="18"/>
  <c r="BZ19" i="18"/>
  <c r="BV19" i="18"/>
  <c r="BR19" i="18"/>
  <c r="BN19" i="18"/>
  <c r="BE19" i="18"/>
  <c r="AU19" i="18"/>
  <c r="AT19" i="18"/>
  <c r="AB19" i="18"/>
  <c r="AO19" i="18"/>
  <c r="AP19" i="18"/>
  <c r="BL19" i="18"/>
  <c r="AJ19" i="18"/>
  <c r="AL19" i="18"/>
  <c r="BF19" i="18"/>
  <c r="AE19" i="18"/>
  <c r="AH19" i="18"/>
  <c r="BP19" i="18"/>
  <c r="AV19" i="18"/>
  <c r="BB19" i="18"/>
  <c r="BO19" i="18"/>
  <c r="BU19" i="18"/>
  <c r="BQ19" i="18"/>
  <c r="CA19" i="18"/>
  <c r="AG19" i="18"/>
  <c r="Y19" i="18"/>
  <c r="AD19" i="18"/>
  <c r="AR19" i="18"/>
  <c r="T19" i="18"/>
  <c r="Z19" i="18"/>
  <c r="W19" i="18"/>
  <c r="BM19" i="18"/>
  <c r="V19" i="18"/>
  <c r="AM19" i="18"/>
  <c r="BH19" i="18"/>
  <c r="R19" i="18"/>
  <c r="BT19" i="18"/>
  <c r="BJ19" i="18"/>
  <c r="AX19" i="18"/>
  <c r="AN19" i="18"/>
  <c r="AQ19" i="18"/>
  <c r="AK19" i="18"/>
  <c r="N26" i="18" l="1"/>
  <c r="O26" i="18" s="1"/>
  <c r="P26" i="18" s="1"/>
  <c r="Q26" i="18" s="1"/>
  <c r="N27" i="18" s="1"/>
  <c r="O27" i="18" s="1"/>
  <c r="P27" i="18" s="1"/>
  <c r="Q27" i="18" s="1"/>
  <c r="BN20" i="18"/>
  <c r="BY20" i="18"/>
  <c r="BU20" i="18"/>
  <c r="AY20" i="18"/>
  <c r="Z20" i="18"/>
  <c r="AG20" i="18"/>
  <c r="BM20" i="18"/>
  <c r="AX20" i="18"/>
  <c r="AS20" i="18"/>
  <c r="AI20" i="18"/>
  <c r="AP20" i="18"/>
  <c r="AO20" i="18"/>
  <c r="BK20" i="18"/>
  <c r="AH20" i="18"/>
  <c r="AK20" i="18"/>
  <c r="BX20" i="18"/>
  <c r="BT20" i="18"/>
  <c r="BP20" i="18"/>
  <c r="BR20" i="18"/>
  <c r="BB20" i="18"/>
  <c r="R20" i="18"/>
  <c r="AJ20" i="18"/>
  <c r="AQ20" i="18"/>
  <c r="AE20" i="18"/>
  <c r="AV20" i="18"/>
  <c r="AA20" i="18"/>
  <c r="W20" i="18"/>
  <c r="AR20" i="18"/>
  <c r="BL20" i="18"/>
  <c r="V20" i="18"/>
  <c r="AN20" i="18"/>
  <c r="BO20" i="18"/>
  <c r="BQ20" i="18"/>
  <c r="AW20" i="18"/>
  <c r="AL20" i="18"/>
  <c r="AF20" i="18"/>
  <c r="BE20" i="18"/>
  <c r="BJ20" i="18"/>
  <c r="X20" i="18"/>
  <c r="BW20" i="18"/>
  <c r="BG20" i="18"/>
  <c r="BC20" i="18"/>
  <c r="U20" i="18"/>
  <c r="BZ20" i="18"/>
  <c r="BF20" i="18"/>
  <c r="AZ20" i="18"/>
  <c r="BH20" i="18"/>
  <c r="AT20" i="18"/>
  <c r="Y20" i="18"/>
  <c r="AU20" i="18"/>
  <c r="BS20" i="18"/>
  <c r="BV20" i="18"/>
  <c r="BD20" i="18"/>
  <c r="T20" i="18"/>
  <c r="BI20" i="18"/>
  <c r="S20" i="18"/>
  <c r="AB20" i="18"/>
  <c r="BA20" i="18"/>
  <c r="CA20" i="18"/>
  <c r="AM20" i="18"/>
  <c r="AC20" i="18"/>
  <c r="AD20" i="18"/>
  <c r="N28" i="18" l="1"/>
  <c r="O28" i="18" s="1"/>
  <c r="P28" i="18" s="1"/>
  <c r="Q28" i="18" s="1"/>
  <c r="BR21" i="18"/>
  <c r="BY21" i="18"/>
  <c r="BU21" i="18"/>
  <c r="Z21" i="18"/>
  <c r="AN21" i="18"/>
  <c r="AU21" i="18"/>
  <c r="BA21" i="18"/>
  <c r="BD21" i="18"/>
  <c r="BJ21" i="18"/>
  <c r="AK21" i="18"/>
  <c r="AX21" i="18"/>
  <c r="BC21" i="18"/>
  <c r="AV21" i="18"/>
  <c r="AS21" i="18"/>
  <c r="AY21" i="18"/>
  <c r="BO21" i="18"/>
  <c r="BL21" i="18"/>
  <c r="AL21" i="18"/>
  <c r="Y21" i="18"/>
  <c r="T21" i="18"/>
  <c r="BV21" i="18"/>
  <c r="BX21" i="18"/>
  <c r="BT21" i="18"/>
  <c r="BP21" i="18"/>
  <c r="BE21" i="18"/>
  <c r="R21" i="18"/>
  <c r="AE21" i="18"/>
  <c r="AP21" i="18"/>
  <c r="AH21" i="18"/>
  <c r="AQ21" i="18"/>
  <c r="U21" i="18"/>
  <c r="AC21" i="18"/>
  <c r="AM21" i="18"/>
  <c r="BM21" i="18"/>
  <c r="X21" i="18"/>
  <c r="AI21" i="18"/>
  <c r="BN21" i="18"/>
  <c r="BG21" i="18"/>
  <c r="AF21" i="18"/>
  <c r="BQ21" i="18"/>
  <c r="BS21" i="18"/>
  <c r="BZ21" i="18"/>
  <c r="CA21" i="18"/>
  <c r="AJ21" i="18"/>
  <c r="AR21" i="18"/>
  <c r="BF21" i="18"/>
  <c r="AZ21" i="18"/>
  <c r="BK21" i="18"/>
  <c r="AA21" i="18"/>
  <c r="AT21" i="18"/>
  <c r="BB21" i="18"/>
  <c r="W21" i="18"/>
  <c r="AO21" i="18"/>
  <c r="AW21" i="18"/>
  <c r="S21" i="18"/>
  <c r="BW21" i="18"/>
  <c r="BI21" i="18"/>
  <c r="V21" i="18"/>
  <c r="AD21" i="18"/>
  <c r="BH21" i="18"/>
  <c r="AG21" i="18"/>
  <c r="AB21" i="18"/>
  <c r="N29" i="18" l="1"/>
  <c r="O29" i="18" s="1"/>
  <c r="P29" i="18" s="1"/>
  <c r="Q29" i="18" s="1"/>
  <c r="N30" i="18" s="1"/>
  <c r="O30" i="18" s="1"/>
  <c r="P30" i="18" s="1"/>
  <c r="Q30" i="18" s="1"/>
  <c r="R24" i="18"/>
  <c r="U24" i="18"/>
  <c r="T24" i="18"/>
  <c r="S24" i="18"/>
  <c r="BO24" i="18"/>
  <c r="BT24" i="18"/>
  <c r="BY24" i="18"/>
  <c r="Y24" i="18"/>
  <c r="AO24" i="18"/>
  <c r="BE24" i="18"/>
  <c r="AB24" i="18"/>
  <c r="AX24" i="18"/>
  <c r="AU24" i="18"/>
  <c r="AQ24" i="18"/>
  <c r="AI24" i="18"/>
  <c r="BD24" i="18"/>
  <c r="AZ24" i="18"/>
  <c r="AV24" i="18"/>
  <c r="BB24" i="18"/>
  <c r="BS24" i="18"/>
  <c r="BX24" i="18"/>
  <c r="BN24" i="18"/>
  <c r="AC24" i="18"/>
  <c r="AS24" i="18"/>
  <c r="BI24" i="18"/>
  <c r="AH24" i="18"/>
  <c r="BC24" i="18"/>
  <c r="BF24" i="18"/>
  <c r="BG24" i="18"/>
  <c r="AN24" i="18"/>
  <c r="BJ24" i="18"/>
  <c r="BK24" i="18"/>
  <c r="BL24" i="18"/>
  <c r="BW24" i="18"/>
  <c r="BQ24" i="18"/>
  <c r="BR24" i="18"/>
  <c r="AG24" i="18"/>
  <c r="AW24" i="18"/>
  <c r="BM24" i="18"/>
  <c r="AM24" i="18"/>
  <c r="BH24" i="18"/>
  <c r="BZ24" i="18"/>
  <c r="X24" i="18"/>
  <c r="AT24" i="18"/>
  <c r="Z24" i="18"/>
  <c r="V24" i="18"/>
  <c r="AJ24" i="18"/>
  <c r="CA24" i="18"/>
  <c r="BP24" i="18"/>
  <c r="BU24" i="18"/>
  <c r="BV24" i="18"/>
  <c r="AK24" i="18"/>
  <c r="BA24" i="18"/>
  <c r="W24" i="18"/>
  <c r="AR24" i="18"/>
  <c r="AE24" i="18"/>
  <c r="AA24" i="18"/>
  <c r="AD24" i="18"/>
  <c r="AY24" i="18"/>
  <c r="AP24" i="18"/>
  <c r="AL24" i="18"/>
  <c r="AF24" i="18"/>
  <c r="BR22" i="18"/>
  <c r="BY22" i="18"/>
  <c r="BO22" i="18"/>
  <c r="CA22" i="18"/>
  <c r="AG22" i="18"/>
  <c r="AJ22" i="18"/>
  <c r="BD22" i="18"/>
  <c r="AN22" i="18"/>
  <c r="AA22" i="18"/>
  <c r="AP22" i="18"/>
  <c r="S22" i="18"/>
  <c r="U22" i="18"/>
  <c r="AL22" i="18"/>
  <c r="AM22" i="18"/>
  <c r="AO22" i="18"/>
  <c r="R22" i="18"/>
  <c r="BS22" i="18"/>
  <c r="BQ22" i="18"/>
  <c r="AD22" i="18"/>
  <c r="BF22" i="18"/>
  <c r="BB22" i="18"/>
  <c r="AH22" i="18"/>
  <c r="BX22" i="18"/>
  <c r="BT22" i="18"/>
  <c r="BP22" i="18"/>
  <c r="AY22" i="18"/>
  <c r="BA22" i="18"/>
  <c r="BL22" i="18"/>
  <c r="BJ22" i="18"/>
  <c r="AW22" i="18"/>
  <c r="AZ22" i="18"/>
  <c r="Z22" i="18"/>
  <c r="AR22" i="18"/>
  <c r="AU22" i="18"/>
  <c r="V22" i="18"/>
  <c r="BG22" i="18"/>
  <c r="T22" i="18"/>
  <c r="BN22" i="18"/>
  <c r="BE22" i="18"/>
  <c r="AS22" i="18"/>
  <c r="BM22" i="18"/>
  <c r="BZ22" i="18"/>
  <c r="BW22" i="18"/>
  <c r="BV22" i="18"/>
  <c r="BK22" i="18"/>
  <c r="AF22" i="18"/>
  <c r="AT22" i="18"/>
  <c r="BI22" i="18"/>
  <c r="AB22" i="18"/>
  <c r="AE22" i="18"/>
  <c r="AC22" i="18"/>
  <c r="W22" i="18"/>
  <c r="Y22" i="18"/>
  <c r="X22" i="18"/>
  <c r="AK22" i="18"/>
  <c r="AX22" i="18"/>
  <c r="BU22" i="18"/>
  <c r="BC22" i="18"/>
  <c r="AI22" i="18"/>
  <c r="AV22" i="18"/>
  <c r="AQ22" i="18"/>
  <c r="BH22" i="18"/>
  <c r="N31" i="18" l="1"/>
  <c r="O31" i="18" s="1"/>
  <c r="P31" i="18" s="1"/>
  <c r="Q31" i="18" s="1"/>
  <c r="BC23" i="18"/>
  <c r="AQ23" i="18"/>
  <c r="BP23" i="18"/>
  <c r="BT23" i="18"/>
  <c r="AN23" i="18"/>
  <c r="BX23" i="18"/>
  <c r="BM23" i="18"/>
  <c r="BY23" i="18"/>
  <c r="BK23" i="18"/>
  <c r="BD23" i="18"/>
  <c r="AR23" i="18"/>
  <c r="AE23" i="18"/>
  <c r="AF23" i="18"/>
  <c r="AB23" i="18"/>
  <c r="BO23" i="18"/>
  <c r="AA23" i="18"/>
  <c r="AP23" i="18"/>
  <c r="AK23" i="18"/>
  <c r="V23" i="18"/>
  <c r="AJ23" i="18"/>
  <c r="AZ23" i="18"/>
  <c r="AL23" i="18"/>
  <c r="BR23" i="18"/>
  <c r="BB23" i="18"/>
  <c r="BJ23" i="18"/>
  <c r="U23" i="18"/>
  <c r="BS23" i="18"/>
  <c r="BL23" i="18"/>
  <c r="BG23" i="18"/>
  <c r="AM23" i="18"/>
  <c r="BA23" i="18"/>
  <c r="AH23" i="18"/>
  <c r="BI23" i="18"/>
  <c r="BN23" i="18"/>
  <c r="BQ23" i="18"/>
  <c r="Y23" i="18"/>
  <c r="AG23" i="18"/>
  <c r="AC23" i="18"/>
  <c r="BZ23" i="18"/>
  <c r="Z23" i="18"/>
  <c r="BV23" i="18"/>
  <c r="AI23" i="18"/>
  <c r="BW23" i="18"/>
  <c r="AW23" i="18"/>
  <c r="AY23" i="18"/>
  <c r="AO23" i="18"/>
  <c r="AX23" i="18"/>
  <c r="AD23" i="18"/>
  <c r="BU23" i="18"/>
  <c r="BE23" i="18"/>
  <c r="S23" i="18"/>
  <c r="BH23" i="18"/>
  <c r="AT23" i="18"/>
  <c r="W23" i="18"/>
  <c r="T23" i="18"/>
  <c r="BF23" i="18"/>
  <c r="CA23" i="18"/>
  <c r="AU23" i="18"/>
  <c r="AV23" i="18"/>
  <c r="AS23" i="18"/>
  <c r="X23" i="18"/>
  <c r="N33" i="18" l="1"/>
  <c r="O33" i="18" s="1"/>
  <c r="P33" i="18" s="1"/>
  <c r="Q33" i="18" s="1"/>
  <c r="BZ25" i="18"/>
  <c r="BY25" i="18"/>
  <c r="BK25" i="18"/>
  <c r="AE25" i="18"/>
  <c r="R25" i="18"/>
  <c r="AC25" i="18"/>
  <c r="V25" i="18"/>
  <c r="BO25" i="18"/>
  <c r="AS25" i="18"/>
  <c r="BF25" i="18"/>
  <c r="AI25" i="18"/>
  <c r="X25" i="18"/>
  <c r="BH25" i="18"/>
  <c r="AR25" i="18"/>
  <c r="BE25" i="18"/>
  <c r="AW25" i="18"/>
  <c r="BN25" i="18"/>
  <c r="BW25" i="18"/>
  <c r="CA25" i="18"/>
  <c r="AY25" i="18"/>
  <c r="U25" i="18"/>
  <c r="BI25" i="18"/>
  <c r="AO25" i="18"/>
  <c r="BS25" i="18"/>
  <c r="BJ25" i="18"/>
  <c r="W25" i="18"/>
  <c r="AH25" i="18"/>
  <c r="AL25" i="18"/>
  <c r="AQ25" i="18"/>
  <c r="BB25" i="18"/>
  <c r="BC25" i="18"/>
  <c r="AP25" i="18"/>
  <c r="AX25" i="18"/>
  <c r="BX25" i="18"/>
  <c r="BV25" i="18"/>
  <c r="AK25" i="18"/>
  <c r="AM25" i="18"/>
  <c r="Z25" i="18"/>
  <c r="AD25" i="18"/>
  <c r="AN25" i="18"/>
  <c r="AA25" i="18"/>
  <c r="AT25" i="18"/>
  <c r="BQ25" i="18"/>
  <c r="AV25" i="18"/>
  <c r="AF25" i="18"/>
  <c r="S25" i="18"/>
  <c r="T25" i="18"/>
  <c r="BP25" i="18"/>
  <c r="BT25" i="18"/>
  <c r="AG25" i="18"/>
  <c r="BA25" i="18"/>
  <c r="AZ25" i="18"/>
  <c r="Y25" i="18"/>
  <c r="AB25" i="18"/>
  <c r="BL25" i="18"/>
  <c r="AU25" i="18"/>
  <c r="BG25" i="18"/>
  <c r="BR25" i="18"/>
  <c r="AJ25" i="18"/>
  <c r="BD25" i="18"/>
  <c r="BU25" i="18"/>
  <c r="BM25" i="18"/>
  <c r="N34" i="18" l="1"/>
  <c r="O34" i="18" s="1"/>
  <c r="P34" i="18" s="1"/>
  <c r="Q34" i="18" s="1"/>
  <c r="N35" i="18" s="1"/>
  <c r="O35" i="18" s="1"/>
  <c r="P35" i="18" s="1"/>
  <c r="Q35" i="18" s="1"/>
  <c r="N36" i="18" s="1"/>
  <c r="O36" i="18" s="1"/>
  <c r="P36" i="18" s="1"/>
  <c r="Q36" i="18" s="1"/>
  <c r="N37" i="18" s="1"/>
  <c r="O37" i="18" s="1"/>
  <c r="P37" i="18" s="1"/>
  <c r="Q37" i="18" s="1"/>
  <c r="N38" i="18" s="1"/>
  <c r="O38" i="18" s="1"/>
  <c r="P38" i="18" s="1"/>
  <c r="Q38" i="18" s="1"/>
  <c r="N39" i="18" s="1"/>
  <c r="O39" i="18" s="1"/>
  <c r="P39" i="18" s="1"/>
  <c r="Q39" i="18" s="1"/>
  <c r="N40" i="18" s="1"/>
  <c r="O40" i="18" s="1"/>
  <c r="P40" i="18" s="1"/>
  <c r="Q40" i="18" s="1"/>
  <c r="N41" i="18" s="1"/>
  <c r="O41" i="18" s="1"/>
  <c r="P41" i="18" s="1"/>
  <c r="Q41" i="18" s="1"/>
  <c r="N42" i="18" s="1"/>
  <c r="O42" i="18" s="1"/>
  <c r="P42" i="18" s="1"/>
  <c r="Q42" i="18" s="1"/>
  <c r="N43" i="18" s="1"/>
  <c r="O43" i="18" s="1"/>
  <c r="P43" i="18" s="1"/>
  <c r="Q43" i="18" s="1"/>
  <c r="N44" i="18" s="1"/>
  <c r="O44" i="18" s="1"/>
  <c r="P44" i="18" s="1"/>
  <c r="Q44" i="18" s="1"/>
  <c r="N45" i="18" s="1"/>
  <c r="O45" i="18" s="1"/>
  <c r="P45" i="18" s="1"/>
  <c r="Q45" i="18" s="1"/>
  <c r="N46" i="18" s="1"/>
  <c r="O46" i="18" s="1"/>
  <c r="P46" i="18" s="1"/>
  <c r="Q46" i="18" s="1"/>
  <c r="N47" i="18" s="1"/>
  <c r="O47" i="18" s="1"/>
  <c r="P47" i="18" s="1"/>
  <c r="Q47" i="18" s="1"/>
  <c r="N48" i="18" s="1"/>
  <c r="O48" i="18" s="1"/>
  <c r="P48" i="18" s="1"/>
  <c r="Q48" i="18" s="1"/>
  <c r="N49" i="18" s="1"/>
  <c r="O49" i="18" s="1"/>
  <c r="P49" i="18" s="1"/>
  <c r="Q49" i="18" s="1"/>
  <c r="N50" i="18" s="1"/>
  <c r="O50" i="18" s="1"/>
  <c r="P50" i="18" s="1"/>
  <c r="Q50" i="18" s="1"/>
  <c r="N51" i="18" s="1"/>
  <c r="O51" i="18" s="1"/>
  <c r="P51" i="18" s="1"/>
  <c r="Q51" i="18" s="1"/>
  <c r="N52" i="18" s="1"/>
  <c r="O52" i="18" s="1"/>
  <c r="P52" i="18" s="1"/>
  <c r="Q52" i="18" s="1"/>
  <c r="N53" i="18" s="1"/>
  <c r="O53" i="18" s="1"/>
  <c r="P53" i="18" s="1"/>
  <c r="Q53" i="18" s="1"/>
  <c r="AE27" i="18"/>
  <c r="AM27" i="18"/>
  <c r="W27" i="18"/>
  <c r="BX27" i="18"/>
  <c r="BW27" i="18"/>
  <c r="V27" i="18"/>
  <c r="BZ27" i="18"/>
  <c r="T27" i="18"/>
  <c r="BV27" i="18"/>
  <c r="BC27" i="18"/>
  <c r="BR27" i="18"/>
  <c r="BP27" i="18"/>
  <c r="BO27" i="18"/>
  <c r="AA27" i="18"/>
  <c r="BM27" i="18"/>
  <c r="AQ27" i="18"/>
  <c r="X27" i="18"/>
  <c r="AJ27" i="18"/>
  <c r="BD27" i="18"/>
  <c r="S27" i="18"/>
  <c r="AY27" i="18"/>
  <c r="AO27" i="18"/>
  <c r="AS27" i="18"/>
  <c r="AC27" i="18"/>
  <c r="AZ27" i="18"/>
  <c r="AT27" i="18"/>
  <c r="AW27" i="18"/>
  <c r="AG27" i="18"/>
  <c r="BG27" i="18"/>
  <c r="U27" i="18"/>
  <c r="AN27" i="18"/>
  <c r="R27" i="18"/>
  <c r="BY27" i="18"/>
  <c r="AR27" i="18"/>
  <c r="BB27" i="18"/>
  <c r="AK27" i="18"/>
  <c r="BU27" i="18"/>
  <c r="Y27" i="18"/>
  <c r="AV27" i="18"/>
  <c r="BS27" i="18"/>
  <c r="BQ27" i="18"/>
  <c r="BJ27" i="18"/>
  <c r="BK27" i="18"/>
  <c r="BL27" i="18"/>
  <c r="BN27" i="18"/>
  <c r="BE27" i="18"/>
  <c r="AP27" i="18"/>
  <c r="AX27" i="18"/>
  <c r="AH27" i="18"/>
  <c r="AU27" i="18"/>
  <c r="AF27" i="18"/>
  <c r="BT27" i="18"/>
  <c r="AL27" i="18"/>
  <c r="Z27" i="18"/>
  <c r="BF27" i="18"/>
  <c r="AD27" i="18"/>
  <c r="BA27" i="18"/>
  <c r="BI27" i="18"/>
  <c r="BH27" i="18"/>
  <c r="AB27" i="18"/>
  <c r="AI27" i="18"/>
  <c r="CA27" i="18"/>
  <c r="BZ26" i="18"/>
  <c r="AN26" i="18"/>
  <c r="AA26" i="18"/>
  <c r="AD26" i="18"/>
  <c r="AZ26" i="18"/>
  <c r="BT26" i="18"/>
  <c r="BM26" i="18"/>
  <c r="AR26" i="18"/>
  <c r="AO26" i="18"/>
  <c r="AX26" i="18"/>
  <c r="BG26" i="18"/>
  <c r="Y26" i="18"/>
  <c r="BV26" i="18"/>
  <c r="BK26" i="18"/>
  <c r="AF26" i="18"/>
  <c r="AH26" i="18"/>
  <c r="BY26" i="18"/>
  <c r="AQ26" i="18"/>
  <c r="AV26" i="18"/>
  <c r="BA26" i="18"/>
  <c r="AY26" i="18"/>
  <c r="BR26" i="18"/>
  <c r="BW26" i="18"/>
  <c r="BI26" i="18"/>
  <c r="AE26" i="18"/>
  <c r="AT26" i="18"/>
  <c r="BN26" i="18"/>
  <c r="BB26" i="18"/>
  <c r="BH26" i="18"/>
  <c r="BQ26" i="18"/>
  <c r="BJ26" i="18"/>
  <c r="AL26" i="18"/>
  <c r="X26" i="18"/>
  <c r="AJ26" i="18"/>
  <c r="BU26" i="18"/>
  <c r="AK26" i="18"/>
  <c r="BD26" i="18"/>
  <c r="R26" i="18"/>
  <c r="AS26" i="18"/>
  <c r="BS26" i="18"/>
  <c r="Z26" i="18"/>
  <c r="AC26" i="18"/>
  <c r="AM26" i="18"/>
  <c r="AG26" i="18"/>
  <c r="BP26" i="18"/>
  <c r="CA26" i="18"/>
  <c r="BC26" i="18"/>
  <c r="S26" i="18"/>
  <c r="U26" i="18"/>
  <c r="BE26" i="18"/>
  <c r="BX26" i="18"/>
  <c r="AP26" i="18"/>
  <c r="V26" i="18"/>
  <c r="BL26" i="18"/>
  <c r="AW26" i="18"/>
  <c r="BO26" i="18"/>
  <c r="AU26" i="18"/>
  <c r="W26" i="18"/>
  <c r="T26" i="18"/>
  <c r="AI26" i="18"/>
  <c r="AB26" i="18"/>
  <c r="BF26" i="18"/>
  <c r="N54" i="18" l="1"/>
  <c r="O54" i="18" s="1"/>
  <c r="P54" i="18" s="1"/>
  <c r="Q54" i="18" s="1"/>
  <c r="N55" i="18" s="1"/>
  <c r="O55" i="18" s="1"/>
  <c r="P55" i="18" s="1"/>
  <c r="Q55" i="18" s="1"/>
  <c r="N56" i="18" s="1"/>
  <c r="O56" i="18" s="1"/>
  <c r="P56" i="18" s="1"/>
  <c r="Q56" i="18" s="1"/>
  <c r="N57" i="18" s="1"/>
  <c r="O57" i="18" s="1"/>
  <c r="P57" i="18" s="1"/>
  <c r="Q57" i="18" s="1"/>
  <c r="N58" i="18" s="1"/>
  <c r="O58" i="18" s="1"/>
  <c r="P58" i="18" s="1"/>
  <c r="Q58" i="18" s="1"/>
  <c r="N59" i="18" s="1"/>
  <c r="O59" i="18" s="1"/>
  <c r="P59" i="18" s="1"/>
  <c r="Q59" i="18" s="1"/>
  <c r="N60" i="18" s="1"/>
  <c r="O60" i="18" s="1"/>
  <c r="P60" i="18" s="1"/>
  <c r="Q60" i="18" s="1"/>
  <c r="BI28" i="18"/>
  <c r="AT28" i="18"/>
  <c r="AA28" i="18"/>
  <c r="BM28" i="18"/>
  <c r="AS28" i="18"/>
  <c r="AV28" i="18"/>
  <c r="X28" i="18"/>
  <c r="AH28" i="18"/>
  <c r="BA28" i="18"/>
  <c r="BF28" i="18"/>
  <c r="AM28" i="18"/>
  <c r="W28" i="18"/>
  <c r="BT28" i="18"/>
  <c r="BU28" i="18"/>
  <c r="BS28" i="18"/>
  <c r="Z28" i="18"/>
  <c r="BR28" i="18"/>
  <c r="BQ28" i="18"/>
  <c r="V28" i="18"/>
  <c r="AE28" i="18"/>
  <c r="BZ28" i="18"/>
  <c r="BP28" i="18"/>
  <c r="CA28" i="18"/>
  <c r="BJ28" i="18"/>
  <c r="AO28" i="18"/>
  <c r="AQ28" i="18"/>
  <c r="BG28" i="18"/>
  <c r="BX28" i="18"/>
  <c r="BH28" i="18"/>
  <c r="AJ28" i="18"/>
  <c r="BL28" i="18"/>
  <c r="AN28" i="18"/>
  <c r="R28" i="18"/>
  <c r="AU28" i="18"/>
  <c r="AP28" i="18"/>
  <c r="AK28" i="18"/>
  <c r="AI28" i="18"/>
  <c r="S28" i="18"/>
  <c r="AR28" i="18"/>
  <c r="T28" i="18"/>
  <c r="BC28" i="18"/>
  <c r="AD28" i="18"/>
  <c r="AG28" i="18"/>
  <c r="AY28" i="18"/>
  <c r="BY28" i="18"/>
  <c r="BK28" i="18"/>
  <c r="AL28" i="18"/>
  <c r="AX28" i="18"/>
  <c r="BB28" i="18"/>
  <c r="AF28" i="18"/>
  <c r="BD28" i="18"/>
  <c r="AZ28" i="18"/>
  <c r="BO28" i="18"/>
  <c r="U28" i="18"/>
  <c r="AW28" i="18"/>
  <c r="Y28" i="18"/>
  <c r="AB28" i="18"/>
  <c r="AC28" i="18"/>
  <c r="BE28" i="18"/>
  <c r="BW28" i="18"/>
  <c r="BV28" i="18"/>
  <c r="BN28" i="18"/>
  <c r="N61" i="18" l="1"/>
  <c r="O61" i="18" s="1"/>
  <c r="P61" i="18" s="1"/>
  <c r="Q61" i="18" s="1"/>
  <c r="N62" i="18" s="1"/>
  <c r="O62" i="18" s="1"/>
  <c r="P62" i="18" s="1"/>
  <c r="Q62" i="18" s="1"/>
  <c r="BE29" i="18"/>
  <c r="BU29" i="18"/>
  <c r="BD29" i="18"/>
  <c r="AR29" i="18"/>
  <c r="BO29" i="18"/>
  <c r="BR29" i="18"/>
  <c r="AM29" i="18"/>
  <c r="AA29" i="18"/>
  <c r="AO29" i="18"/>
  <c r="BY29" i="18"/>
  <c r="R29" i="18"/>
  <c r="AW29" i="18"/>
  <c r="AS29" i="18"/>
  <c r="AG29" i="18"/>
  <c r="AI29" i="18"/>
  <c r="W29" i="18"/>
  <c r="AT29" i="18"/>
  <c r="Y29" i="18"/>
  <c r="CA29" i="18"/>
  <c r="BW29" i="18"/>
  <c r="BK29" i="18"/>
  <c r="BJ29" i="18"/>
  <c r="BX29" i="18"/>
  <c r="AJ29" i="18"/>
  <c r="AK29" i="18"/>
  <c r="T29" i="18"/>
  <c r="BS29" i="18"/>
  <c r="BI29" i="18"/>
  <c r="AL29" i="18"/>
  <c r="BZ29" i="18"/>
  <c r="AF29" i="18"/>
  <c r="BP29" i="18"/>
  <c r="BG29" i="18"/>
  <c r="AP29" i="18"/>
  <c r="U29" i="18"/>
  <c r="AB29" i="18"/>
  <c r="BF29" i="18"/>
  <c r="BL29" i="18"/>
  <c r="BB29" i="18"/>
  <c r="BN29" i="18"/>
  <c r="AD29" i="18"/>
  <c r="AU29" i="18"/>
  <c r="BV29" i="18"/>
  <c r="AC29" i="18"/>
  <c r="AZ29" i="18"/>
  <c r="BC29" i="18"/>
  <c r="AH29" i="18"/>
  <c r="BM29" i="18"/>
  <c r="BA29" i="18"/>
  <c r="AX29" i="18"/>
  <c r="BH29" i="18"/>
  <c r="AV29" i="18"/>
  <c r="BT29" i="18"/>
  <c r="V29" i="18"/>
  <c r="AQ29" i="18"/>
  <c r="AE29" i="18"/>
  <c r="X29" i="18"/>
  <c r="AY29" i="18"/>
  <c r="Z29" i="18"/>
  <c r="AN29" i="18"/>
  <c r="BQ29" i="18"/>
  <c r="S29" i="18"/>
  <c r="N63" i="18" l="1"/>
  <c r="O63" i="18" s="1"/>
  <c r="P63" i="18" s="1"/>
  <c r="Q63" i="18" s="1"/>
  <c r="N64" i="18" s="1"/>
  <c r="O64" i="18" s="1"/>
  <c r="P64" i="18" s="1"/>
  <c r="Q64" i="18" s="1"/>
  <c r="BV30" i="18"/>
  <c r="BY30" i="18"/>
  <c r="S30" i="18"/>
  <c r="V30" i="18"/>
  <c r="BR30" i="18"/>
  <c r="BX30" i="18"/>
  <c r="AT30" i="18"/>
  <c r="R30" i="18"/>
  <c r="BN30" i="18"/>
  <c r="BT30" i="18"/>
  <c r="AI30" i="18"/>
  <c r="BW30" i="18"/>
  <c r="AU30" i="18"/>
  <c r="BB30" i="18"/>
  <c r="AQ30" i="18"/>
  <c r="BO30" i="18"/>
  <c r="BL30" i="18"/>
  <c r="BE30" i="18"/>
  <c r="AA30" i="18"/>
  <c r="BA30" i="18"/>
  <c r="AD30" i="18"/>
  <c r="AE30" i="18"/>
  <c r="BH30" i="18"/>
  <c r="U30" i="18"/>
  <c r="AN30" i="18"/>
  <c r="AK30" i="18"/>
  <c r="AM30" i="18"/>
  <c r="AJ30" i="18"/>
  <c r="AP30" i="18"/>
  <c r="BK30" i="18"/>
  <c r="BJ30" i="18"/>
  <c r="BC30" i="18"/>
  <c r="T30" i="18"/>
  <c r="AZ30" i="18"/>
  <c r="AY30" i="18"/>
  <c r="AC30" i="18"/>
  <c r="Z30" i="18"/>
  <c r="BD30" i="18"/>
  <c r="AB30" i="18"/>
  <c r="Y30" i="18"/>
  <c r="BI30" i="18"/>
  <c r="BG30" i="18"/>
  <c r="BZ30" i="18"/>
  <c r="BU30" i="18"/>
  <c r="AL30" i="18"/>
  <c r="W30" i="18"/>
  <c r="BQ30" i="18"/>
  <c r="CA30" i="18"/>
  <c r="AV30" i="18"/>
  <c r="AS30" i="18"/>
  <c r="AH30" i="18"/>
  <c r="X30" i="18"/>
  <c r="AX30" i="18"/>
  <c r="BF30" i="18"/>
  <c r="BM30" i="18"/>
  <c r="AF30" i="18"/>
  <c r="AR30" i="18"/>
  <c r="AO30" i="18"/>
  <c r="AW30" i="18"/>
  <c r="BP30" i="18"/>
  <c r="BS30" i="18"/>
  <c r="AG30" i="18"/>
  <c r="Y32" i="18"/>
  <c r="X32" i="18"/>
  <c r="Z32" i="18"/>
  <c r="BI32" i="18"/>
  <c r="AG32" i="18"/>
  <c r="BO32" i="18"/>
  <c r="T32" i="18"/>
  <c r="AM32" i="18"/>
  <c r="U32" i="18"/>
  <c r="AY32" i="18"/>
  <c r="BQ32" i="18"/>
  <c r="AW32" i="18"/>
  <c r="AU32" i="18"/>
  <c r="AK32" i="18"/>
  <c r="W32" i="18"/>
  <c r="BA32" i="18"/>
  <c r="AZ32" i="18"/>
  <c r="BZ32" i="18"/>
  <c r="V32" i="18"/>
  <c r="AE32" i="18"/>
  <c r="BP32" i="18"/>
  <c r="S32" i="18"/>
  <c r="AH32" i="18"/>
  <c r="BL32" i="18"/>
  <c r="AL32" i="18"/>
  <c r="BS32" i="18"/>
  <c r="AT32" i="18"/>
  <c r="AI32" i="18"/>
  <c r="AN32" i="18"/>
  <c r="BM32" i="18"/>
  <c r="AB32" i="18"/>
  <c r="AQ32" i="18"/>
  <c r="BB32" i="18"/>
  <c r="BT32" i="18"/>
  <c r="AV32" i="18"/>
  <c r="AR32" i="18"/>
  <c r="BF32" i="18"/>
  <c r="BJ32" i="18"/>
  <c r="AS32" i="18"/>
  <c r="AA32" i="18"/>
  <c r="AD32" i="18"/>
  <c r="BN32" i="18"/>
  <c r="AP32" i="18"/>
  <c r="AC32" i="18"/>
  <c r="BD32" i="18"/>
  <c r="BY32" i="18"/>
  <c r="BW32" i="18"/>
  <c r="AO32" i="18"/>
  <c r="R32" i="18"/>
  <c r="AX32" i="18"/>
  <c r="BU32" i="18"/>
  <c r="AF32" i="18"/>
  <c r="BR32" i="18"/>
  <c r="AJ32" i="18"/>
  <c r="BX32" i="18"/>
  <c r="BK32" i="18"/>
  <c r="BH32" i="18"/>
  <c r="BG32" i="18"/>
  <c r="CA32" i="18"/>
  <c r="BV32" i="18"/>
  <c r="BC32" i="18"/>
  <c r="BE32" i="18"/>
  <c r="X31" i="18" l="1"/>
  <c r="BW31" i="18"/>
  <c r="AO31" i="18"/>
  <c r="CA31" i="18"/>
  <c r="AM31" i="18"/>
  <c r="BN31" i="18"/>
  <c r="AJ31" i="18"/>
  <c r="AI31" i="18"/>
  <c r="BH31" i="18"/>
  <c r="AY31" i="18"/>
  <c r="S31" i="18"/>
  <c r="AQ31" i="18"/>
  <c r="AK31" i="18"/>
  <c r="AB31" i="18"/>
  <c r="AT31" i="18"/>
  <c r="BL31" i="18"/>
  <c r="BQ31" i="18"/>
  <c r="R31" i="18"/>
  <c r="BK31" i="18"/>
  <c r="AU31" i="18"/>
  <c r="BX31" i="18"/>
  <c r="Y31" i="18"/>
  <c r="AF31" i="18"/>
  <c r="BY31" i="18"/>
  <c r="BI31" i="18"/>
  <c r="BR31" i="18"/>
  <c r="AL31" i="18"/>
  <c r="AP31" i="18"/>
  <c r="BU31" i="18"/>
  <c r="BA31" i="18"/>
  <c r="BG31" i="18"/>
  <c r="AV31" i="18"/>
  <c r="AW31" i="18"/>
  <c r="BM31" i="18"/>
  <c r="AC31" i="18"/>
  <c r="AE31" i="18"/>
  <c r="AS31" i="18"/>
  <c r="AG31" i="18"/>
  <c r="U31" i="18"/>
  <c r="BE31" i="18"/>
  <c r="T31" i="18"/>
  <c r="BJ31" i="18"/>
  <c r="BC31" i="18"/>
  <c r="AR31" i="18"/>
  <c r="AZ31" i="18"/>
  <c r="BZ31" i="18"/>
  <c r="W31" i="18"/>
  <c r="AX31" i="18"/>
  <c r="AA31" i="18"/>
  <c r="BO31" i="18"/>
  <c r="BB31" i="18"/>
  <c r="V31" i="18"/>
  <c r="Z31" i="18"/>
  <c r="AH31" i="18"/>
  <c r="BT31" i="18"/>
  <c r="AD31" i="18"/>
  <c r="AN31" i="18"/>
  <c r="BF31" i="18"/>
  <c r="BS31" i="18"/>
  <c r="BP31" i="18"/>
  <c r="BV31" i="18"/>
  <c r="BD31" i="18"/>
  <c r="W34" i="18"/>
  <c r="X34" i="18" l="1"/>
  <c r="BG34" i="18"/>
  <c r="BI34" i="18"/>
  <c r="BE34" i="18"/>
  <c r="BT34" i="18"/>
  <c r="BM34" i="18"/>
  <c r="BB34" i="18"/>
  <c r="AE34" i="18"/>
  <c r="AM34" i="18"/>
  <c r="AL34" i="18"/>
  <c r="AJ34" i="18"/>
  <c r="AZ34" i="18"/>
  <c r="Y34" i="18"/>
  <c r="AG34" i="18"/>
  <c r="BO34" i="18"/>
  <c r="Z34" i="18"/>
  <c r="AO34" i="18"/>
  <c r="AP34" i="18"/>
  <c r="BF34" i="18"/>
  <c r="BX34" i="18"/>
  <c r="T34" i="18"/>
  <c r="R34" i="18"/>
  <c r="AN34" i="18"/>
  <c r="BH34" i="18"/>
  <c r="AY34" i="18"/>
  <c r="BA34" i="18"/>
  <c r="AS34" i="18"/>
  <c r="CA34" i="18"/>
  <c r="AT34" i="18"/>
  <c r="BJ34" i="18"/>
  <c r="AK34" i="18"/>
  <c r="AI34" i="18"/>
  <c r="BV34" i="18"/>
  <c r="BS34" i="18"/>
  <c r="BN34" i="18"/>
  <c r="BY34" i="18"/>
  <c r="BW34" i="18"/>
  <c r="BQ34" i="18"/>
  <c r="V34" i="18"/>
  <c r="BZ34" i="18"/>
  <c r="BP34" i="18"/>
  <c r="BU34" i="18"/>
  <c r="AU34" i="18"/>
  <c r="AH34" i="18"/>
  <c r="AF34" i="18"/>
  <c r="AV34" i="18"/>
  <c r="BD34" i="18"/>
  <c r="AD34" i="18"/>
  <c r="AB34" i="18"/>
  <c r="AR34" i="18"/>
  <c r="BR34" i="18"/>
  <c r="BC34" i="18"/>
  <c r="AC34" i="18"/>
  <c r="S34" i="18"/>
  <c r="AQ34" i="18"/>
  <c r="AW34" i="18"/>
  <c r="AX34" i="18"/>
  <c r="AA34" i="18"/>
  <c r="BL34" i="18"/>
  <c r="BK34" i="18"/>
  <c r="U34" i="18"/>
  <c r="BA33" i="18"/>
  <c r="AJ33" i="18"/>
  <c r="AL33" i="18"/>
  <c r="U33" i="18"/>
  <c r="BX33" i="18"/>
  <c r="AK33" i="18"/>
  <c r="BT33" i="18"/>
  <c r="AU33" i="18"/>
  <c r="AF33" i="18"/>
  <c r="BP33" i="18"/>
  <c r="BN33" i="18"/>
  <c r="AY33" i="18"/>
  <c r="BF33" i="18"/>
  <c r="AS33" i="18"/>
  <c r="BY33" i="18"/>
  <c r="BD33" i="18"/>
  <c r="BK33" i="18"/>
  <c r="R33" i="18"/>
  <c r="BU33" i="18"/>
  <c r="BJ33" i="18"/>
  <c r="V33" i="18"/>
  <c r="BM33" i="18"/>
  <c r="AZ33" i="18"/>
  <c r="T33" i="18"/>
  <c r="AT33" i="18"/>
  <c r="AE33" i="18"/>
  <c r="BQ33" i="18"/>
  <c r="AV33" i="18"/>
  <c r="AA33" i="18"/>
  <c r="AM33" i="18"/>
  <c r="CA33" i="18"/>
  <c r="Z33" i="18"/>
  <c r="AO33" i="18"/>
  <c r="AR33" i="18"/>
  <c r="BZ33" i="18"/>
  <c r="AI33" i="18"/>
  <c r="AP33" i="18"/>
  <c r="X33" i="18"/>
  <c r="AW33" i="18"/>
  <c r="BC33" i="18"/>
  <c r="BB33" i="18"/>
  <c r="AG33" i="18"/>
  <c r="BR33" i="18"/>
  <c r="BE33" i="18"/>
  <c r="BG33" i="18"/>
  <c r="S33" i="18"/>
  <c r="BV33" i="18"/>
  <c r="BI33" i="18"/>
  <c r="BL33" i="18"/>
  <c r="AX33" i="18"/>
  <c r="BS33" i="18"/>
  <c r="AC33" i="18"/>
  <c r="W33" i="18"/>
  <c r="AH33" i="18"/>
  <c r="AB33" i="18"/>
  <c r="AD33" i="18"/>
  <c r="BH33" i="18"/>
  <c r="AQ33" i="18"/>
  <c r="AN33" i="18"/>
  <c r="Y33" i="18"/>
  <c r="BO33" i="18"/>
  <c r="BW33" i="18"/>
  <c r="BJ36" i="18" l="1"/>
  <c r="BP36" i="18" l="1"/>
  <c r="AM36" i="18"/>
  <c r="AE36" i="18"/>
  <c r="AO36" i="18"/>
  <c r="BW36" i="18"/>
  <c r="AP36" i="18"/>
  <c r="AW36" i="18"/>
  <c r="U36" i="18"/>
  <c r="AX36" i="18"/>
  <c r="BH36" i="18"/>
  <c r="AQ36" i="18"/>
  <c r="BG36" i="18"/>
  <c r="BM36" i="18"/>
  <c r="R36" i="18"/>
  <c r="AS36" i="18"/>
  <c r="BS36" i="18"/>
  <c r="BR36" i="18"/>
  <c r="BN36" i="18"/>
  <c r="AZ36" i="18"/>
  <c r="BE36" i="18"/>
  <c r="AV36" i="18"/>
  <c r="BF36" i="18"/>
  <c r="AJ36" i="18"/>
  <c r="AK36" i="18"/>
  <c r="AL36" i="18"/>
  <c r="BL36" i="18"/>
  <c r="W36" i="18"/>
  <c r="BY36" i="18"/>
  <c r="BB36" i="18"/>
  <c r="AC36" i="18"/>
  <c r="BC36" i="18"/>
  <c r="T36" i="18"/>
  <c r="AT36" i="18"/>
  <c r="V36" i="18"/>
  <c r="BD36" i="18"/>
  <c r="BQ36" i="18"/>
  <c r="BV36" i="18"/>
  <c r="CA36" i="18"/>
  <c r="X36" i="18"/>
  <c r="BU36" i="18"/>
  <c r="AH36" i="18"/>
  <c r="BO36" i="18"/>
  <c r="AB36" i="18"/>
  <c r="Z36" i="18"/>
  <c r="BX36" i="18"/>
  <c r="AA36" i="18"/>
  <c r="BT36" i="18"/>
  <c r="AN36" i="18"/>
  <c r="BZ36" i="18"/>
  <c r="BA36" i="18"/>
  <c r="BK36" i="18"/>
  <c r="AD36" i="18"/>
  <c r="AR36" i="18"/>
  <c r="AI36" i="18"/>
  <c r="AF36" i="18"/>
  <c r="AU36" i="18"/>
  <c r="S36" i="18"/>
  <c r="AG36" i="18"/>
  <c r="Y36" i="18"/>
  <c r="BI36" i="18"/>
  <c r="AY36" i="18"/>
  <c r="AK35" i="18"/>
  <c r="AU35" i="18"/>
  <c r="U35" i="18"/>
  <c r="AX35" i="18"/>
  <c r="BT35" i="18"/>
  <c r="Z35" i="18"/>
  <c r="AE35" i="18"/>
  <c r="AO35" i="18"/>
  <c r="BX35" i="18"/>
  <c r="AY35" i="18"/>
  <c r="BF35" i="18"/>
  <c r="AA35" i="18"/>
  <c r="BY35" i="18"/>
  <c r="W35" i="18"/>
  <c r="AI35" i="18"/>
  <c r="AW35" i="18"/>
  <c r="AS35" i="18"/>
  <c r="BO35" i="18"/>
  <c r="AR35" i="18"/>
  <c r="AD35" i="18"/>
  <c r="BC35" i="18"/>
  <c r="BB35" i="18"/>
  <c r="BN35" i="18"/>
  <c r="S35" i="18"/>
  <c r="AN35" i="18"/>
  <c r="BD35" i="18"/>
  <c r="AZ35" i="18"/>
  <c r="BU35" i="18"/>
  <c r="AP35" i="18"/>
  <c r="BP35" i="18"/>
  <c r="X35" i="18"/>
  <c r="AH35" i="18"/>
  <c r="AM35" i="18"/>
  <c r="CA35" i="18"/>
  <c r="BM35" i="18"/>
  <c r="AL35" i="18"/>
  <c r="V35" i="18"/>
  <c r="R35" i="18"/>
  <c r="BV35" i="18"/>
  <c r="AQ35" i="18"/>
  <c r="AT35" i="18"/>
  <c r="BK35" i="18"/>
  <c r="T35" i="18"/>
  <c r="BQ35" i="18"/>
  <c r="AC35" i="18"/>
  <c r="BW35" i="18"/>
  <c r="BG35" i="18"/>
  <c r="BA35" i="18"/>
  <c r="AG35" i="18"/>
  <c r="BE35" i="18"/>
  <c r="BZ35" i="18"/>
  <c r="Y35" i="18"/>
  <c r="BJ35" i="18"/>
  <c r="AJ35" i="18"/>
  <c r="AB35" i="18"/>
  <c r="BR35" i="18"/>
  <c r="AV35" i="18"/>
  <c r="BH35" i="18"/>
  <c r="AF35" i="18"/>
  <c r="BL35" i="18"/>
  <c r="BS35" i="18"/>
  <c r="BI35" i="18"/>
  <c r="AY37" i="18" l="1"/>
  <c r="BK37" i="18"/>
  <c r="AO37" i="18"/>
  <c r="BY37" i="18"/>
  <c r="AX37" i="18"/>
  <c r="AP37" i="18"/>
  <c r="U37" i="18"/>
  <c r="BT37" i="18"/>
  <c r="T37" i="18"/>
  <c r="Z37" i="18"/>
  <c r="AK37" i="18"/>
  <c r="BW37" i="18"/>
  <c r="BJ37" i="18"/>
  <c r="BV37" i="18"/>
  <c r="S37" i="18"/>
  <c r="AS37" i="18"/>
  <c r="AE37" i="18"/>
  <c r="BR37" i="18"/>
  <c r="AU37" i="18"/>
  <c r="Y37" i="18"/>
  <c r="BC37" i="18"/>
  <c r="BU37" i="18"/>
  <c r="AD37" i="18"/>
  <c r="AM37" i="18"/>
  <c r="AB37" i="18"/>
  <c r="AT37" i="18"/>
  <c r="AQ37" i="18"/>
  <c r="BI37" i="18"/>
  <c r="BD37" i="18"/>
  <c r="BM37" i="18"/>
  <c r="CA37" i="18"/>
  <c r="AW37" i="18"/>
  <c r="BH37" i="18"/>
  <c r="AA37" i="18"/>
  <c r="BN37" i="18"/>
  <c r="AC37" i="18"/>
  <c r="AI37" i="18"/>
  <c r="AZ37" i="18"/>
  <c r="BQ37" i="18"/>
  <c r="AJ37" i="18"/>
  <c r="BG37" i="18"/>
  <c r="X37" i="18"/>
  <c r="AH37" i="18"/>
  <c r="BE37" i="18"/>
  <c r="AN37" i="18"/>
  <c r="BB37" i="18"/>
  <c r="BZ37" i="18"/>
  <c r="W37" i="18"/>
  <c r="BF37" i="18"/>
  <c r="BA37" i="18"/>
  <c r="BX37" i="18"/>
  <c r="AR37" i="18"/>
  <c r="AF37" i="18"/>
  <c r="AG37" i="18"/>
  <c r="BS37" i="18"/>
  <c r="BL37" i="18"/>
  <c r="V37" i="18"/>
  <c r="AL37" i="18"/>
  <c r="R37" i="18"/>
  <c r="BO37" i="18"/>
  <c r="BP37" i="18"/>
  <c r="AV37" i="18"/>
  <c r="AA38" i="18" l="1"/>
  <c r="AE38" i="18"/>
  <c r="AB38" i="18"/>
  <c r="BD38" i="18"/>
  <c r="AH38" i="18"/>
  <c r="BI38" i="18"/>
  <c r="R38" i="18"/>
  <c r="AS38" i="18"/>
  <c r="X38" i="18"/>
  <c r="AR38" i="18"/>
  <c r="BM38" i="18"/>
  <c r="AF38" i="18"/>
  <c r="BO38" i="18"/>
  <c r="BF38" i="18"/>
  <c r="AW38" i="18"/>
  <c r="AY38" i="18"/>
  <c r="BZ38" i="18"/>
  <c r="AP38" i="18"/>
  <c r="AD38" i="18"/>
  <c r="BL38" i="18"/>
  <c r="BU38" i="18"/>
  <c r="AJ38" i="18"/>
  <c r="AM38" i="18"/>
  <c r="AX38" i="18"/>
  <c r="Y38" i="18"/>
  <c r="AC38" i="18"/>
  <c r="S38" i="18"/>
  <c r="BY38" i="18"/>
  <c r="AK38" i="18"/>
  <c r="BA38" i="18"/>
  <c r="T38" i="18"/>
  <c r="AU38" i="18"/>
  <c r="CA38" i="18"/>
  <c r="AI38" i="18"/>
  <c r="AQ38" i="18"/>
  <c r="AZ38" i="18"/>
  <c r="BV38" i="18"/>
  <c r="AN38" i="18"/>
  <c r="V38" i="18"/>
  <c r="BJ38" i="18"/>
  <c r="BQ38" i="18"/>
  <c r="AT38" i="18"/>
  <c r="BT38" i="18"/>
  <c r="BK38" i="18"/>
  <c r="AG38" i="18"/>
  <c r="BC38" i="18"/>
  <c r="Z38" i="18"/>
  <c r="BR38" i="18"/>
  <c r="BG38" i="18"/>
  <c r="BH38" i="18"/>
  <c r="BE38" i="18"/>
  <c r="BX38" i="18"/>
  <c r="AV38" i="18"/>
  <c r="W38" i="18"/>
  <c r="AO38" i="18"/>
  <c r="BS38" i="18"/>
  <c r="BP38" i="18"/>
  <c r="BW38" i="18"/>
  <c r="AL38" i="18"/>
  <c r="BN38" i="18"/>
  <c r="BB38" i="18"/>
  <c r="U38" i="18"/>
  <c r="AO39" i="18" l="1"/>
  <c r="BX39" i="18"/>
  <c r="AG39" i="18"/>
  <c r="CA39" i="18"/>
  <c r="BA39" i="18"/>
  <c r="AE39" i="18"/>
  <c r="AB39" i="18"/>
  <c r="T39" i="18"/>
  <c r="AW39" i="18"/>
  <c r="AV39" i="18"/>
  <c r="BL39" i="18"/>
  <c r="BW39" i="18"/>
  <c r="BD39" i="18"/>
  <c r="BO39" i="18"/>
  <c r="AS39" i="18"/>
  <c r="S39" i="18"/>
  <c r="BH39" i="18"/>
  <c r="BC39" i="18"/>
  <c r="AZ39" i="18"/>
  <c r="AD39" i="18"/>
  <c r="AR39" i="18"/>
  <c r="AL39" i="18"/>
  <c r="AI39" i="18"/>
  <c r="BJ39" i="18"/>
  <c r="BQ39" i="18"/>
  <c r="BK39" i="18"/>
  <c r="Z39" i="18"/>
  <c r="R39" i="18"/>
  <c r="V39" i="18"/>
  <c r="AX39" i="18"/>
  <c r="BM39" i="18"/>
  <c r="W39" i="18"/>
  <c r="AF39" i="18"/>
  <c r="AU39" i="18"/>
  <c r="BF39" i="18"/>
  <c r="BT39" i="18"/>
  <c r="AQ39" i="18"/>
  <c r="AK39" i="18"/>
  <c r="AH39" i="18"/>
  <c r="BZ39" i="18"/>
  <c r="U39" i="18"/>
  <c r="BU39" i="18"/>
  <c r="BP39" i="18"/>
  <c r="BG39" i="18"/>
  <c r="BB39" i="18"/>
  <c r="AY39" i="18"/>
  <c r="AC39" i="18"/>
  <c r="AM39" i="18"/>
  <c r="AT39" i="18"/>
  <c r="Y39" i="18"/>
  <c r="BS39" i="18"/>
  <c r="BV39" i="18"/>
  <c r="BN39" i="18"/>
  <c r="BR39" i="18"/>
  <c r="AN39" i="18"/>
  <c r="BY39" i="18"/>
  <c r="X39" i="18"/>
  <c r="AJ39" i="18"/>
  <c r="AP39" i="18"/>
  <c r="BI39" i="18"/>
  <c r="BE39" i="18"/>
  <c r="AA39" i="18"/>
  <c r="AR40" i="18" l="1"/>
  <c r="AN40" i="18"/>
  <c r="T40" i="18"/>
  <c r="BW40" i="18"/>
  <c r="BS40" i="18"/>
  <c r="BO40" i="18"/>
  <c r="BU40" i="18"/>
  <c r="BQ40" i="18"/>
  <c r="BK40" i="18"/>
  <c r="AM40" i="18"/>
  <c r="W40" i="18"/>
  <c r="AH40" i="18"/>
  <c r="AE40" i="18"/>
  <c r="AA40" i="18"/>
  <c r="BV40" i="18"/>
  <c r="BR40" i="18"/>
  <c r="AC40" i="18"/>
  <c r="AX40" i="18"/>
  <c r="AP40" i="18"/>
  <c r="BN40" i="18"/>
  <c r="BY40" i="18"/>
  <c r="BT40" i="18"/>
  <c r="BP40" i="18"/>
  <c r="S40" i="18"/>
  <c r="BX40" i="18"/>
  <c r="Z40" i="18"/>
  <c r="AF40" i="18"/>
  <c r="BA40" i="18"/>
  <c r="BH40" i="18"/>
  <c r="CA40" i="18"/>
  <c r="AS40" i="18"/>
  <c r="BI40" i="18"/>
  <c r="Y40" i="18"/>
  <c r="BJ40" i="18"/>
  <c r="V40" i="18"/>
  <c r="BL40" i="18"/>
  <c r="AK40" i="18"/>
  <c r="BF40" i="18"/>
  <c r="R40" i="18"/>
  <c r="BM40" i="18"/>
  <c r="AU40" i="18"/>
  <c r="BD40" i="18"/>
  <c r="AO40" i="18"/>
  <c r="BE40" i="18"/>
  <c r="AW40" i="18"/>
  <c r="BB40" i="18"/>
  <c r="AT40" i="18"/>
  <c r="AB40" i="18"/>
  <c r="X40" i="18"/>
  <c r="BC40" i="18"/>
  <c r="AY40" i="18"/>
  <c r="AL40" i="18"/>
  <c r="AD40" i="18"/>
  <c r="AZ40" i="18"/>
  <c r="AV40" i="18"/>
  <c r="AQ40" i="18"/>
  <c r="AJ40" i="18"/>
  <c r="U40" i="18"/>
  <c r="AG40" i="18"/>
  <c r="BG40" i="18"/>
  <c r="AI40" i="18"/>
  <c r="BZ40" i="18"/>
  <c r="Y41" i="18" l="1"/>
  <c r="BJ41" i="18"/>
  <c r="V41" i="18"/>
  <c r="BL41" i="18"/>
  <c r="AL41" i="18"/>
  <c r="AD41" i="18"/>
  <c r="AZ41" i="18"/>
  <c r="AV41" i="18"/>
  <c r="AH41" i="18"/>
  <c r="Z41" i="18"/>
  <c r="AO41" i="18"/>
  <c r="AG41" i="18"/>
  <c r="AN41" i="18"/>
  <c r="AT41" i="18"/>
  <c r="BR41" i="18"/>
  <c r="BE41" i="18"/>
  <c r="BV41" i="18"/>
  <c r="AB41" i="18"/>
  <c r="X41" i="18"/>
  <c r="AY41" i="18"/>
  <c r="AU41" i="18"/>
  <c r="BG41" i="18"/>
  <c r="BC41" i="18"/>
  <c r="AI41" i="18"/>
  <c r="AE41" i="18"/>
  <c r="BH41" i="18"/>
  <c r="BD41" i="18"/>
  <c r="AJ41" i="18"/>
  <c r="AF41" i="18"/>
  <c r="T41" i="18"/>
  <c r="AA41" i="18"/>
  <c r="BZ41" i="18"/>
  <c r="BB41" i="18"/>
  <c r="BT41" i="18"/>
  <c r="AR41" i="18"/>
  <c r="BS41" i="18"/>
  <c r="BO41" i="18"/>
  <c r="BU41" i="18"/>
  <c r="BQ41" i="18"/>
  <c r="BN41" i="18"/>
  <c r="BY41" i="18"/>
  <c r="BP41" i="18"/>
  <c r="CA41" i="18"/>
  <c r="AQ41" i="18"/>
  <c r="AM41" i="18"/>
  <c r="S41" i="18"/>
  <c r="BW41" i="18"/>
  <c r="BK41" i="18"/>
  <c r="W41" i="18"/>
  <c r="AC41" i="18"/>
  <c r="BX41" i="18"/>
  <c r="AK41" i="18"/>
  <c r="BA41" i="18"/>
  <c r="AS41" i="18"/>
  <c r="BI41" i="18"/>
  <c r="AX41" i="18"/>
  <c r="AP41" i="18"/>
  <c r="U41" i="18"/>
  <c r="BF41" i="18"/>
  <c r="R41" i="18"/>
  <c r="BM41" i="18"/>
  <c r="AW41" i="18"/>
  <c r="BJ42" i="18" l="1"/>
  <c r="AZ42" i="18"/>
  <c r="AT42" i="18"/>
  <c r="AB42" i="18"/>
  <c r="BC42" i="18"/>
  <c r="S42" i="18"/>
  <c r="AU42" i="18"/>
  <c r="BN42" i="18"/>
  <c r="BD42" i="18"/>
  <c r="AV42" i="18"/>
  <c r="AN42" i="18"/>
  <c r="X42" i="18"/>
  <c r="AI42" i="18"/>
  <c r="BK42" i="18"/>
  <c r="BW42" i="18"/>
  <c r="BZ42" i="18"/>
  <c r="AK42" i="18"/>
  <c r="BU42" i="18"/>
  <c r="AM42" i="18"/>
  <c r="BV42" i="18"/>
  <c r="AE42" i="18"/>
  <c r="BQ42" i="18"/>
  <c r="AR42" i="18"/>
  <c r="AY42" i="18"/>
  <c r="BY42" i="18"/>
  <c r="AC42" i="18"/>
  <c r="AS42" i="18"/>
  <c r="AG42" i="18"/>
  <c r="BS42" i="18"/>
  <c r="BT42" i="18"/>
  <c r="BR42" i="18"/>
  <c r="BF42" i="18"/>
  <c r="AO42" i="18"/>
  <c r="AP42" i="18"/>
  <c r="AL42" i="18"/>
  <c r="AH42" i="18"/>
  <c r="BX42" i="18"/>
  <c r="R42" i="18"/>
  <c r="BP42" i="18"/>
  <c r="AW42" i="18"/>
  <c r="AF42" i="18"/>
  <c r="BO42" i="18"/>
  <c r="W42" i="18"/>
  <c r="U42" i="18"/>
  <c r="AX42" i="18"/>
  <c r="BI42" i="18"/>
  <c r="BE42" i="18"/>
  <c r="AD42" i="18"/>
  <c r="AJ42" i="18"/>
  <c r="BL42" i="18"/>
  <c r="BG42" i="18"/>
  <c r="Z42" i="18"/>
  <c r="BB42" i="18"/>
  <c r="BM42" i="18"/>
  <c r="BH42" i="18"/>
  <c r="V42" i="18"/>
  <c r="BA42" i="18"/>
  <c r="AA42" i="18"/>
  <c r="CA42" i="18"/>
  <c r="T42" i="18"/>
  <c r="AQ42" i="18"/>
  <c r="Y42" i="18"/>
  <c r="Y43" i="18" l="1"/>
  <c r="BJ43" i="18"/>
  <c r="V43" i="18"/>
  <c r="BL43" i="18"/>
  <c r="AL43" i="18"/>
  <c r="AD43" i="18"/>
  <c r="AZ43" i="18"/>
  <c r="AV43" i="18"/>
  <c r="AH43" i="18"/>
  <c r="AO43" i="18"/>
  <c r="AW43" i="18"/>
  <c r="AA43" i="18"/>
  <c r="AB43" i="18"/>
  <c r="X43" i="18"/>
  <c r="AY43" i="18"/>
  <c r="AU43" i="18"/>
  <c r="BG43" i="18"/>
  <c r="BC43" i="18"/>
  <c r="AI43" i="18"/>
  <c r="AE43" i="18"/>
  <c r="BH43" i="18"/>
  <c r="BD43" i="18"/>
  <c r="AJ43" i="18"/>
  <c r="AF43" i="18"/>
  <c r="BB43" i="18"/>
  <c r="AN43" i="18"/>
  <c r="W43" i="18"/>
  <c r="BA43" i="18"/>
  <c r="BS43" i="18"/>
  <c r="T43" i="18"/>
  <c r="BO43" i="18"/>
  <c r="BW43" i="18"/>
  <c r="BU43" i="18"/>
  <c r="BQ43" i="18"/>
  <c r="BN43" i="18"/>
  <c r="BY43" i="18"/>
  <c r="BP43" i="18"/>
  <c r="CA43" i="18"/>
  <c r="AQ43" i="18"/>
  <c r="AM43" i="18"/>
  <c r="S43" i="18"/>
  <c r="AT43" i="18"/>
  <c r="BV43" i="18"/>
  <c r="BZ43" i="18"/>
  <c r="AS43" i="18"/>
  <c r="BI43" i="18"/>
  <c r="AX43" i="18"/>
  <c r="AP43" i="18"/>
  <c r="U43" i="18"/>
  <c r="BF43" i="18"/>
  <c r="R43" i="18"/>
  <c r="BM43" i="18"/>
  <c r="BX43" i="18"/>
  <c r="BT43" i="18"/>
  <c r="AK43" i="18"/>
  <c r="BE43" i="18"/>
  <c r="AC43" i="18"/>
  <c r="BK43" i="18"/>
  <c r="BR43" i="18"/>
  <c r="Z43" i="18"/>
  <c r="AG43" i="18"/>
  <c r="AR43" i="18"/>
  <c r="AO44" i="18" l="1"/>
  <c r="AJ44" i="18"/>
  <c r="T44" i="18"/>
  <c r="BK44" i="18"/>
  <c r="BZ44" i="18"/>
  <c r="BS44" i="18"/>
  <c r="BY44" i="18"/>
  <c r="BU44" i="18"/>
  <c r="BG44" i="18"/>
  <c r="BC44" i="18"/>
  <c r="AE44" i="18"/>
  <c r="BE44" i="18"/>
  <c r="AA44" i="18"/>
  <c r="W44" i="18"/>
  <c r="BO44" i="18"/>
  <c r="BV44" i="18"/>
  <c r="AX44" i="18"/>
  <c r="AH44" i="18"/>
  <c r="BM44" i="18"/>
  <c r="BR44" i="18"/>
  <c r="BN44" i="18"/>
  <c r="BT44" i="18"/>
  <c r="BP44" i="18"/>
  <c r="R44" i="18"/>
  <c r="AD44" i="18"/>
  <c r="S44" i="18"/>
  <c r="AS44" i="18"/>
  <c r="V44" i="18"/>
  <c r="AM44" i="18"/>
  <c r="CA44" i="18"/>
  <c r="BI44" i="18"/>
  <c r="AN44" i="18"/>
  <c r="BL44" i="18"/>
  <c r="BF44" i="18"/>
  <c r="AF44" i="18"/>
  <c r="Y44" i="18"/>
  <c r="U44" i="18"/>
  <c r="BD44" i="18"/>
  <c r="AW44" i="18"/>
  <c r="AR44" i="18"/>
  <c r="BH44" i="18"/>
  <c r="AC44" i="18"/>
  <c r="BW44" i="18"/>
  <c r="AL44" i="18"/>
  <c r="AG44" i="18"/>
  <c r="BA44" i="18"/>
  <c r="AV44" i="18"/>
  <c r="AB44" i="18"/>
  <c r="X44" i="18"/>
  <c r="AY44" i="18"/>
  <c r="AU44" i="18"/>
  <c r="AP44" i="18"/>
  <c r="AK44" i="18"/>
  <c r="AZ44" i="18"/>
  <c r="AT44" i="18"/>
  <c r="BB44" i="18"/>
  <c r="BJ44" i="18"/>
  <c r="AQ44" i="18"/>
  <c r="BQ44" i="18"/>
  <c r="AI44" i="18"/>
  <c r="Z44" i="18"/>
  <c r="BX44" i="18"/>
  <c r="V45" i="18" l="1"/>
  <c r="BL45" i="18"/>
  <c r="AK45" i="18"/>
  <c r="AF45" i="18"/>
  <c r="AV45" i="18"/>
  <c r="AP45" i="18"/>
  <c r="BJ45" i="18"/>
  <c r="BE45" i="18"/>
  <c r="BM45" i="18"/>
  <c r="BH45" i="18"/>
  <c r="AG45" i="18"/>
  <c r="AB45" i="18"/>
  <c r="AL45" i="18"/>
  <c r="AD45" i="18"/>
  <c r="Y45" i="18"/>
  <c r="AY45" i="18"/>
  <c r="AU45" i="18"/>
  <c r="BG45" i="18"/>
  <c r="BC45" i="18"/>
  <c r="AI45" i="18"/>
  <c r="AE45" i="18"/>
  <c r="Z45" i="18"/>
  <c r="U45" i="18"/>
  <c r="AO45" i="18"/>
  <c r="AJ45" i="18"/>
  <c r="BD45" i="18"/>
  <c r="BF45" i="18"/>
  <c r="T45" i="18"/>
  <c r="BR45" i="18"/>
  <c r="BK45" i="18"/>
  <c r="BS45" i="18"/>
  <c r="BO45" i="18"/>
  <c r="BU45" i="18"/>
  <c r="BQ45" i="18"/>
  <c r="BN45" i="18"/>
  <c r="BY45" i="18"/>
  <c r="BP45" i="18"/>
  <c r="CA45" i="18"/>
  <c r="AQ45" i="18"/>
  <c r="AM45" i="18"/>
  <c r="S45" i="18"/>
  <c r="BW45" i="18"/>
  <c r="BV45" i="18"/>
  <c r="BA45" i="18"/>
  <c r="W45" i="18"/>
  <c r="BI45" i="18"/>
  <c r="AN45" i="18"/>
  <c r="AX45" i="18"/>
  <c r="AC45" i="18"/>
  <c r="AH45" i="18"/>
  <c r="AS45" i="18"/>
  <c r="BB45" i="18"/>
  <c r="AW45" i="18"/>
  <c r="BX45" i="18"/>
  <c r="BT45" i="18"/>
  <c r="X45" i="18"/>
  <c r="BZ45" i="18"/>
  <c r="AR45" i="18"/>
  <c r="AZ45" i="18"/>
  <c r="AA45" i="18"/>
  <c r="R45" i="18"/>
  <c r="AT45" i="18"/>
  <c r="AL46" i="18" l="1"/>
  <c r="BJ46" i="18"/>
  <c r="AB46" i="18"/>
  <c r="AD46" i="18"/>
  <c r="Y46" i="18"/>
  <c r="W46" i="18"/>
  <c r="BO46" i="18"/>
  <c r="BN46" i="18"/>
  <c r="AP46" i="18"/>
  <c r="T46" i="18"/>
  <c r="AF46" i="18"/>
  <c r="AU46" i="18"/>
  <c r="AI46" i="18"/>
  <c r="AW46" i="18"/>
  <c r="AT46" i="18"/>
  <c r="AM46" i="18"/>
  <c r="AJ46" i="18"/>
  <c r="BW46" i="18"/>
  <c r="BS46" i="18"/>
  <c r="BD46" i="18"/>
  <c r="BR46" i="18"/>
  <c r="BG46" i="18"/>
  <c r="BV46" i="18"/>
  <c r="AY46" i="18"/>
  <c r="BX46" i="18"/>
  <c r="CA46" i="18"/>
  <c r="BZ46" i="18"/>
  <c r="AZ46" i="18"/>
  <c r="AE46" i="18"/>
  <c r="AA46" i="18"/>
  <c r="BP46" i="18"/>
  <c r="S46" i="18"/>
  <c r="AH46" i="18"/>
  <c r="BB46" i="18"/>
  <c r="AX46" i="18"/>
  <c r="V46" i="18"/>
  <c r="AC46" i="18"/>
  <c r="BY46" i="18"/>
  <c r="AS46" i="18"/>
  <c r="BQ46" i="18"/>
  <c r="AQ46" i="18"/>
  <c r="AR46" i="18"/>
  <c r="BH46" i="18"/>
  <c r="U46" i="18"/>
  <c r="BE46" i="18"/>
  <c r="AV46" i="18"/>
  <c r="BI46" i="18"/>
  <c r="AN46" i="18"/>
  <c r="BM46" i="18"/>
  <c r="BL46" i="18"/>
  <c r="AO46" i="18"/>
  <c r="BA46" i="18"/>
  <c r="BK46" i="18"/>
  <c r="R46" i="18"/>
  <c r="BF46" i="18"/>
  <c r="X46" i="18"/>
  <c r="Z46" i="18"/>
  <c r="BU46" i="18"/>
  <c r="BT46" i="18"/>
  <c r="AK46" i="18"/>
  <c r="BC46" i="18"/>
  <c r="AG46" i="18"/>
  <c r="BA47" i="18" l="1"/>
  <c r="AV47" i="18"/>
  <c r="U47" i="18"/>
  <c r="AK47" i="18"/>
  <c r="AF47" i="18"/>
  <c r="Z47" i="18"/>
  <c r="AZ47" i="18"/>
  <c r="BL47" i="18"/>
  <c r="AR47" i="18"/>
  <c r="AL47" i="18"/>
  <c r="BI47" i="18"/>
  <c r="AB47" i="18"/>
  <c r="BV47" i="18"/>
  <c r="AN47" i="18"/>
  <c r="AU47" i="18"/>
  <c r="T47" i="18"/>
  <c r="AY47" i="18"/>
  <c r="AE47" i="18"/>
  <c r="AQ47" i="18"/>
  <c r="AM47" i="18"/>
  <c r="AI47" i="18"/>
  <c r="BS47" i="18"/>
  <c r="AA47" i="18"/>
  <c r="BH47" i="18"/>
  <c r="BD47" i="18"/>
  <c r="AD47" i="18"/>
  <c r="AT47" i="18"/>
  <c r="BQ47" i="18"/>
  <c r="X47" i="18"/>
  <c r="BE47" i="18"/>
  <c r="Y47" i="18"/>
  <c r="BY47" i="18"/>
  <c r="BU47" i="18"/>
  <c r="CA47" i="18"/>
  <c r="BX47" i="18"/>
  <c r="BT47" i="18"/>
  <c r="BP47" i="18"/>
  <c r="AS47" i="18"/>
  <c r="BZ47" i="18"/>
  <c r="W47" i="18"/>
  <c r="S47" i="18"/>
  <c r="BR47" i="18"/>
  <c r="BO47" i="18"/>
  <c r="BN47" i="18"/>
  <c r="V47" i="18"/>
  <c r="AO47" i="18"/>
  <c r="AJ47" i="18"/>
  <c r="AH47" i="18"/>
  <c r="BG47" i="18"/>
  <c r="BB47" i="18"/>
  <c r="R47" i="18"/>
  <c r="BJ47" i="18"/>
  <c r="BF47" i="18"/>
  <c r="AG47" i="18"/>
  <c r="AW47" i="18"/>
  <c r="BC47" i="18"/>
  <c r="AX47" i="18"/>
  <c r="AC47" i="18"/>
  <c r="BW47" i="18"/>
  <c r="BK47" i="18"/>
  <c r="BM47" i="18"/>
  <c r="AP47" i="18"/>
  <c r="AS48" i="18" l="1"/>
  <c r="AO48" i="18"/>
  <c r="AK48" i="18"/>
  <c r="AG48" i="18"/>
  <c r="BS48" i="18"/>
  <c r="BO48" i="18"/>
  <c r="BV48" i="18"/>
  <c r="BR48" i="18"/>
  <c r="BH48" i="18"/>
  <c r="BD48" i="18"/>
  <c r="AZ48" i="18"/>
  <c r="AV48" i="18"/>
  <c r="AJ48" i="18"/>
  <c r="BT48" i="18"/>
  <c r="AA48" i="18"/>
  <c r="AB48" i="18"/>
  <c r="X48" i="18"/>
  <c r="T48" i="18"/>
  <c r="BW48" i="18"/>
  <c r="AI48" i="18"/>
  <c r="S48" i="18"/>
  <c r="AM48" i="18"/>
  <c r="BN48" i="18"/>
  <c r="BY48" i="18"/>
  <c r="BU48" i="18"/>
  <c r="BQ48" i="18"/>
  <c r="AF48" i="18"/>
  <c r="BP48" i="18"/>
  <c r="AW48" i="18"/>
  <c r="CA48" i="18"/>
  <c r="AY48" i="18"/>
  <c r="W48" i="18"/>
  <c r="AP48" i="18"/>
  <c r="AL48" i="18"/>
  <c r="AH48" i="18"/>
  <c r="AD48" i="18"/>
  <c r="BK48" i="18"/>
  <c r="AU48" i="18"/>
  <c r="AE48" i="18"/>
  <c r="BC48" i="18"/>
  <c r="AR48" i="18"/>
  <c r="BZ48" i="18"/>
  <c r="BG48" i="18"/>
  <c r="BI48" i="18"/>
  <c r="BA48" i="18"/>
  <c r="BJ48" i="18"/>
  <c r="BF48" i="18"/>
  <c r="BB48" i="18"/>
  <c r="AX48" i="18"/>
  <c r="AT48" i="18"/>
  <c r="AC48" i="18"/>
  <c r="Y48" i="18"/>
  <c r="U48" i="18"/>
  <c r="BL48" i="18"/>
  <c r="Z48" i="18"/>
  <c r="V48" i="18"/>
  <c r="R48" i="18"/>
  <c r="BM48" i="18"/>
  <c r="AN48" i="18"/>
  <c r="BX48" i="18"/>
  <c r="AQ48" i="18"/>
  <c r="BE48" i="18"/>
  <c r="AQ49" i="18" l="1"/>
  <c r="R49" i="18"/>
  <c r="AT49" i="18"/>
  <c r="BI49" i="18"/>
  <c r="BB49" i="18"/>
  <c r="BA49" i="18"/>
  <c r="AD49" i="18"/>
  <c r="AS49" i="18"/>
  <c r="AI49" i="18"/>
  <c r="AX49" i="18"/>
  <c r="BC49" i="18"/>
  <c r="AP49" i="18"/>
  <c r="U49" i="18"/>
  <c r="BV49" i="18"/>
  <c r="AA49" i="18"/>
  <c r="BE49" i="18"/>
  <c r="AZ49" i="18"/>
  <c r="AG49" i="18"/>
  <c r="AR49" i="18"/>
  <c r="AO49" i="18"/>
  <c r="AJ49" i="18"/>
  <c r="BL49" i="18"/>
  <c r="AB49" i="18"/>
  <c r="AL49" i="18"/>
  <c r="AK49" i="18"/>
  <c r="BM49" i="18"/>
  <c r="AC49" i="18"/>
  <c r="AW49" i="18"/>
  <c r="AF49" i="18"/>
  <c r="CA49" i="18"/>
  <c r="AN49" i="18"/>
  <c r="BU49" i="18"/>
  <c r="BW49" i="18"/>
  <c r="BX49" i="18"/>
  <c r="X49" i="18"/>
  <c r="BP49" i="18"/>
  <c r="BR49" i="18"/>
  <c r="BZ49" i="18"/>
  <c r="Y49" i="18"/>
  <c r="T49" i="18"/>
  <c r="AV49" i="18"/>
  <c r="BS49" i="18"/>
  <c r="BH49" i="18"/>
  <c r="BN49" i="18"/>
  <c r="AU49" i="18"/>
  <c r="AH49" i="18"/>
  <c r="BJ49" i="18"/>
  <c r="BK49" i="18"/>
  <c r="BT49" i="18"/>
  <c r="W49" i="18"/>
  <c r="AY49" i="18"/>
  <c r="BF49" i="18"/>
  <c r="AE49" i="18"/>
  <c r="AM49" i="18"/>
  <c r="BG49" i="18"/>
  <c r="BO49" i="18"/>
  <c r="S49" i="18"/>
  <c r="BQ49" i="18"/>
  <c r="V49" i="18"/>
  <c r="BD49" i="18"/>
  <c r="BY49" i="18"/>
  <c r="Z49" i="18"/>
  <c r="AC50" i="18" l="1"/>
  <c r="AF50" i="18"/>
  <c r="BV50" i="18"/>
  <c r="AR50" i="18"/>
  <c r="BR50" i="18"/>
  <c r="V50" i="18"/>
  <c r="BT50" i="18"/>
  <c r="AV50" i="18"/>
  <c r="BW50" i="18"/>
  <c r="AN50" i="18"/>
  <c r="T50" i="18"/>
  <c r="BP50" i="18"/>
  <c r="AO50" i="18"/>
  <c r="AH50" i="18"/>
  <c r="BO50" i="18"/>
  <c r="BQ50" i="18"/>
  <c r="AS50" i="18"/>
  <c r="AB50" i="18"/>
  <c r="CA50" i="18"/>
  <c r="BK50" i="18"/>
  <c r="AZ50" i="18"/>
  <c r="BU50" i="18"/>
  <c r="BX50" i="18"/>
  <c r="Z50" i="18"/>
  <c r="X50" i="18"/>
  <c r="AX50" i="18"/>
  <c r="AL50" i="18"/>
  <c r="BA50" i="18"/>
  <c r="BD50" i="18"/>
  <c r="BG50" i="18"/>
  <c r="BJ50" i="18"/>
  <c r="S50" i="18"/>
  <c r="AM50" i="18"/>
  <c r="AI50" i="18"/>
  <c r="Y50" i="18"/>
  <c r="AY50" i="18"/>
  <c r="BZ50" i="18"/>
  <c r="BC50" i="18"/>
  <c r="BF50" i="18"/>
  <c r="AQ50" i="18"/>
  <c r="AJ50" i="18"/>
  <c r="AW50" i="18"/>
  <c r="BH50" i="18"/>
  <c r="AP50" i="18"/>
  <c r="AA50" i="18"/>
  <c r="AT50" i="18"/>
  <c r="BI50" i="18"/>
  <c r="R50" i="18"/>
  <c r="BY50" i="18"/>
  <c r="AK50" i="18"/>
  <c r="BS50" i="18"/>
  <c r="AU50" i="18"/>
  <c r="U50" i="18"/>
  <c r="BM50" i="18"/>
  <c r="BE50" i="18"/>
  <c r="AE50" i="18"/>
  <c r="BN50" i="18"/>
  <c r="BB50" i="18"/>
  <c r="AG50" i="18"/>
  <c r="AD50" i="18"/>
  <c r="BL50" i="18"/>
  <c r="W50" i="18"/>
  <c r="V51" i="18" l="1"/>
  <c r="R51" i="18"/>
  <c r="AW51" i="18"/>
  <c r="BI51" i="18"/>
  <c r="BE51" i="18"/>
  <c r="BA51" i="18"/>
  <c r="AG51" i="18"/>
  <c r="AS51" i="18"/>
  <c r="BB51" i="18"/>
  <c r="AX51" i="18"/>
  <c r="AD51" i="18"/>
  <c r="AP51" i="18"/>
  <c r="AH51" i="18"/>
  <c r="U51" i="18"/>
  <c r="BV51" i="18"/>
  <c r="AV51" i="18"/>
  <c r="BD51" i="18"/>
  <c r="AZ51" i="18"/>
  <c r="AF51" i="18"/>
  <c r="AR51" i="18"/>
  <c r="AN51" i="18"/>
  <c r="AJ51" i="18"/>
  <c r="BS51" i="18"/>
  <c r="AB51" i="18"/>
  <c r="AO51" i="18"/>
  <c r="AK51" i="18"/>
  <c r="BL51" i="18"/>
  <c r="AC51" i="18"/>
  <c r="W51" i="18"/>
  <c r="BY51" i="18"/>
  <c r="BU51" i="18"/>
  <c r="CA51" i="18"/>
  <c r="BX51" i="18"/>
  <c r="BT51" i="18"/>
  <c r="BP51" i="18"/>
  <c r="AM51" i="18"/>
  <c r="BZ51" i="18"/>
  <c r="X51" i="18"/>
  <c r="T51" i="18"/>
  <c r="BR51" i="18"/>
  <c r="BO51" i="18"/>
  <c r="Z51" i="18"/>
  <c r="BH51" i="18"/>
  <c r="BN51" i="18"/>
  <c r="S51" i="18"/>
  <c r="AE51" i="18"/>
  <c r="BQ51" i="18"/>
  <c r="BK51" i="18"/>
  <c r="AU51" i="18"/>
  <c r="BJ51" i="18"/>
  <c r="BG51" i="18"/>
  <c r="AQ51" i="18"/>
  <c r="AA51" i="18"/>
  <c r="AT51" i="18"/>
  <c r="BF51" i="18"/>
  <c r="AI51" i="18"/>
  <c r="BC51" i="18"/>
  <c r="AY51" i="18"/>
  <c r="AL51" i="18"/>
  <c r="Y51" i="18"/>
  <c r="BW51" i="18"/>
  <c r="BM51" i="18"/>
  <c r="R52" i="18" l="1"/>
  <c r="BA52" i="18"/>
  <c r="AW52" i="18"/>
  <c r="AC52" i="18"/>
  <c r="AN52" i="18"/>
  <c r="T52" i="18"/>
  <c r="BW52" i="18"/>
  <c r="BR52" i="18"/>
  <c r="AO52" i="18"/>
  <c r="U52" i="18"/>
  <c r="BL52" i="18"/>
  <c r="W52" i="18"/>
  <c r="AV52" i="18"/>
  <c r="BD52" i="18"/>
  <c r="AJ52" i="18"/>
  <c r="AF52" i="18"/>
  <c r="BS52" i="18"/>
  <c r="BX52" i="18"/>
  <c r="BC52" i="18"/>
  <c r="BK52" i="18"/>
  <c r="X52" i="18"/>
  <c r="BZ52" i="18"/>
  <c r="BV52" i="18"/>
  <c r="BQ52" i="18"/>
  <c r="BF52" i="18"/>
  <c r="AS52" i="18"/>
  <c r="AB52" i="18"/>
  <c r="CA52" i="18"/>
  <c r="BO52" i="18"/>
  <c r="BN52" i="18"/>
  <c r="BT52" i="18"/>
  <c r="BP52" i="18"/>
  <c r="AQ52" i="18"/>
  <c r="AX52" i="18"/>
  <c r="AT52" i="18"/>
  <c r="Z52" i="18"/>
  <c r="AY52" i="18"/>
  <c r="S52" i="18"/>
  <c r="AM52" i="18"/>
  <c r="BG52" i="18"/>
  <c r="AI52" i="18"/>
  <c r="AL52" i="18"/>
  <c r="Y52" i="18"/>
  <c r="AU52" i="18"/>
  <c r="AA52" i="18"/>
  <c r="BJ52" i="18"/>
  <c r="AP52" i="18"/>
  <c r="BE52" i="18"/>
  <c r="AK52" i="18"/>
  <c r="AG52" i="18"/>
  <c r="BH52" i="18"/>
  <c r="BB52" i="18"/>
  <c r="AH52" i="18"/>
  <c r="AD52" i="18"/>
  <c r="BI52" i="18"/>
  <c r="AE52" i="18"/>
  <c r="V52" i="18"/>
  <c r="AZ52" i="18"/>
  <c r="BY52" i="18"/>
  <c r="AR52" i="18"/>
  <c r="BM52" i="18"/>
  <c r="BU52" i="18"/>
  <c r="R53" i="18" l="1"/>
  <c r="AD53" i="18"/>
  <c r="BM53" i="18"/>
  <c r="BI53" i="18"/>
  <c r="AL53" i="18"/>
  <c r="BA53" i="18"/>
  <c r="AW53" i="18"/>
  <c r="AS53" i="18"/>
  <c r="AQ53" i="18"/>
  <c r="AH53" i="18"/>
  <c r="Z53" i="18"/>
  <c r="V53" i="18"/>
  <c r="AM53" i="18"/>
  <c r="AX53" i="18"/>
  <c r="BL53" i="18"/>
  <c r="Y53" i="18"/>
  <c r="AZ53" i="18"/>
  <c r="AV53" i="18"/>
  <c r="AR53" i="18"/>
  <c r="BD53" i="18"/>
  <c r="AJ53" i="18"/>
  <c r="AF53" i="18"/>
  <c r="AB53" i="18"/>
  <c r="BE53" i="18"/>
  <c r="AK53" i="18"/>
  <c r="AG53" i="18"/>
  <c r="AC53" i="18"/>
  <c r="BK53" i="18"/>
  <c r="AT53" i="18"/>
  <c r="BH53" i="18"/>
  <c r="BO53" i="18"/>
  <c r="BY53" i="18"/>
  <c r="BR53" i="18"/>
  <c r="BN53" i="18"/>
  <c r="BX53" i="18"/>
  <c r="BV53" i="18"/>
  <c r="BP53" i="18"/>
  <c r="CA53" i="18"/>
  <c r="BZ53" i="18"/>
  <c r="AN53" i="18"/>
  <c r="T53" i="18"/>
  <c r="BU53" i="18"/>
  <c r="BS53" i="18"/>
  <c r="AP53" i="18"/>
  <c r="AO53" i="18"/>
  <c r="X53" i="18"/>
  <c r="S53" i="18"/>
  <c r="AE53" i="18"/>
  <c r="W53" i="18"/>
  <c r="BG53" i="18"/>
  <c r="AU53" i="18"/>
  <c r="AA53" i="18"/>
  <c r="BJ53" i="18"/>
  <c r="BB53" i="18"/>
  <c r="BT53" i="18"/>
  <c r="AY53" i="18"/>
  <c r="AI53" i="18"/>
  <c r="BC53" i="18"/>
  <c r="BF53" i="18"/>
  <c r="U53" i="18"/>
  <c r="BQ53" i="18"/>
  <c r="BW53" i="18"/>
  <c r="AU54" i="18" l="1"/>
  <c r="BB54" i="18"/>
  <c r="BG54" i="18"/>
  <c r="BP54" i="18"/>
  <c r="AX54" i="18"/>
  <c r="AD54" i="18"/>
  <c r="Z54" i="18"/>
  <c r="R54" i="18"/>
  <c r="BM54" i="18"/>
  <c r="AS54" i="18"/>
  <c r="BY54" i="18"/>
  <c r="AQ54" i="18"/>
  <c r="AA54" i="18"/>
  <c r="BJ54" i="18"/>
  <c r="BF54" i="18"/>
  <c r="U54" i="18"/>
  <c r="AO54" i="18"/>
  <c r="AK54" i="18"/>
  <c r="AG54" i="18"/>
  <c r="BH54" i="18"/>
  <c r="AP54" i="18"/>
  <c r="BQ54" i="18"/>
  <c r="AV54" i="18"/>
  <c r="AB54" i="18"/>
  <c r="BE54" i="18"/>
  <c r="AW54" i="18"/>
  <c r="AC54" i="18"/>
  <c r="X54" i="18"/>
  <c r="BN54" i="18"/>
  <c r="AH54" i="18"/>
  <c r="BI54" i="18"/>
  <c r="BD54" i="18"/>
  <c r="AZ54" i="18"/>
  <c r="BX54" i="18"/>
  <c r="BA54" i="18"/>
  <c r="BS54" i="18"/>
  <c r="T54" i="18"/>
  <c r="BU54" i="18"/>
  <c r="BC54" i="18"/>
  <c r="S54" i="18"/>
  <c r="BW54" i="18"/>
  <c r="BR54" i="18"/>
  <c r="BV54" i="18"/>
  <c r="CA54" i="18"/>
  <c r="AL54" i="18"/>
  <c r="AN54" i="18"/>
  <c r="AJ54" i="18"/>
  <c r="AF54" i="18"/>
  <c r="BO54" i="18"/>
  <c r="AR54" i="18"/>
  <c r="AY54" i="18"/>
  <c r="AM54" i="18"/>
  <c r="BK54" i="18"/>
  <c r="Y54" i="18"/>
  <c r="BL54" i="18"/>
  <c r="AE54" i="18"/>
  <c r="W54" i="18"/>
  <c r="AI54" i="18"/>
  <c r="BT54" i="18"/>
  <c r="BZ54" i="18"/>
  <c r="AT54" i="18"/>
  <c r="V54" i="18"/>
  <c r="BE55" i="18" l="1"/>
  <c r="BA55" i="18"/>
  <c r="AC55" i="18"/>
  <c r="T55" i="18"/>
  <c r="BP55" i="18"/>
  <c r="AV55" i="18"/>
  <c r="CA55" i="18"/>
  <c r="AF55" i="18"/>
  <c r="AN55" i="18"/>
  <c r="AJ55" i="18"/>
  <c r="BY55" i="18"/>
  <c r="BU55" i="18"/>
  <c r="BC55" i="18"/>
  <c r="S55" i="18"/>
  <c r="AM55" i="18"/>
  <c r="BQ55" i="18"/>
  <c r="BX55" i="18"/>
  <c r="BO55" i="18"/>
  <c r="BV55" i="18"/>
  <c r="BZ55" i="18"/>
  <c r="AA55" i="18"/>
  <c r="AS55" i="18"/>
  <c r="AB55" i="18"/>
  <c r="BN55" i="18"/>
  <c r="BJ55" i="18"/>
  <c r="AP55" i="18"/>
  <c r="AL55" i="18"/>
  <c r="AY55" i="18"/>
  <c r="AE55" i="18"/>
  <c r="BW55" i="18"/>
  <c r="Z55" i="18"/>
  <c r="AW55" i="18"/>
  <c r="BR55" i="18"/>
  <c r="AX55" i="18"/>
  <c r="AD55" i="18"/>
  <c r="AI55" i="18"/>
  <c r="BK55" i="18"/>
  <c r="BG55" i="18"/>
  <c r="BD55" i="18"/>
  <c r="W55" i="18"/>
  <c r="BF55" i="18"/>
  <c r="AH55" i="18"/>
  <c r="V55" i="18"/>
  <c r="AO55" i="18"/>
  <c r="AK55" i="18"/>
  <c r="BL55" i="18"/>
  <c r="BH55" i="18"/>
  <c r="BB55" i="18"/>
  <c r="AT55" i="18"/>
  <c r="BM55" i="18"/>
  <c r="BI55" i="18"/>
  <c r="BS55" i="18"/>
  <c r="AU55" i="18"/>
  <c r="R55" i="18"/>
  <c r="AZ55" i="18"/>
  <c r="AG55" i="18"/>
  <c r="X55" i="18"/>
  <c r="BT55" i="18"/>
  <c r="Y55" i="18"/>
  <c r="U55" i="18"/>
  <c r="AR55" i="18"/>
  <c r="AQ55" i="18"/>
  <c r="V56" i="18" l="1"/>
  <c r="AY56" i="18"/>
  <c r="AA56" i="18"/>
  <c r="X56" i="18"/>
  <c r="AX56" i="18"/>
  <c r="AU56" i="18"/>
  <c r="BF56" i="18"/>
  <c r="R56" i="18"/>
  <c r="BM56" i="18"/>
  <c r="AH56" i="18"/>
  <c r="Z56" i="18"/>
  <c r="BA56" i="18"/>
  <c r="AW56" i="18"/>
  <c r="BI56" i="18"/>
  <c r="BE56" i="18"/>
  <c r="AK56" i="18"/>
  <c r="AG56" i="18"/>
  <c r="BX56" i="18"/>
  <c r="AT56" i="18"/>
  <c r="AP56" i="18"/>
  <c r="BL56" i="18"/>
  <c r="AC56" i="18"/>
  <c r="Y56" i="18"/>
  <c r="AZ56" i="18"/>
  <c r="AV56" i="18"/>
  <c r="BD56" i="18"/>
  <c r="AJ56" i="18"/>
  <c r="AF56" i="18"/>
  <c r="AN56" i="18"/>
  <c r="BY56" i="18"/>
  <c r="AQ56" i="18"/>
  <c r="U56" i="18"/>
  <c r="BH56" i="18"/>
  <c r="AR56" i="18"/>
  <c r="T56" i="18"/>
  <c r="BT56" i="18"/>
  <c r="AS56" i="18"/>
  <c r="BU56" i="18"/>
  <c r="BQ56" i="18"/>
  <c r="BS56" i="18"/>
  <c r="BO56" i="18"/>
  <c r="BP56" i="18"/>
  <c r="BW56" i="18"/>
  <c r="BN56" i="18"/>
  <c r="BZ56" i="18"/>
  <c r="BV56" i="18"/>
  <c r="BR56" i="18"/>
  <c r="BK56" i="18"/>
  <c r="AB56" i="18"/>
  <c r="CA56" i="18"/>
  <c r="AI56" i="18"/>
  <c r="AO56" i="18"/>
  <c r="AE56" i="18"/>
  <c r="BJ56" i="18"/>
  <c r="BC56" i="18"/>
  <c r="AL56" i="18"/>
  <c r="AD56" i="18"/>
  <c r="BG56" i="18"/>
  <c r="AM56" i="18"/>
  <c r="W56" i="18"/>
  <c r="S56" i="18"/>
  <c r="BB56" i="18"/>
  <c r="AI57" i="18" l="1"/>
  <c r="AA57" i="18"/>
  <c r="AP57" i="18"/>
  <c r="BD57" i="18"/>
  <c r="BH57" i="18"/>
  <c r="AJ57" i="18"/>
  <c r="BC57" i="18"/>
  <c r="AS57" i="18"/>
  <c r="AO57" i="18"/>
  <c r="U57" i="18"/>
  <c r="BQ57" i="18"/>
  <c r="BY57" i="18"/>
  <c r="BU57" i="18"/>
  <c r="BS57" i="18"/>
  <c r="BO57" i="18"/>
  <c r="BP57" i="18"/>
  <c r="BW57" i="18"/>
  <c r="BN57" i="18"/>
  <c r="CA57" i="18"/>
  <c r="T57" i="18"/>
  <c r="BJ57" i="18"/>
  <c r="AM57" i="18"/>
  <c r="AG57" i="18"/>
  <c r="AB57" i="18"/>
  <c r="BT57" i="18"/>
  <c r="BB57" i="18"/>
  <c r="AU57" i="18"/>
  <c r="V57" i="18"/>
  <c r="AY57" i="18"/>
  <c r="AV57" i="18"/>
  <c r="AE57" i="18"/>
  <c r="AK57" i="18"/>
  <c r="AF57" i="18"/>
  <c r="BX57" i="18"/>
  <c r="BK57" i="18"/>
  <c r="AD57" i="18"/>
  <c r="AQ57" i="18"/>
  <c r="BV57" i="18"/>
  <c r="BI57" i="18"/>
  <c r="BZ57" i="18"/>
  <c r="AT57" i="18"/>
  <c r="AL57" i="18"/>
  <c r="W57" i="18"/>
  <c r="BF57" i="18"/>
  <c r="R57" i="18"/>
  <c r="BM57" i="18"/>
  <c r="AH57" i="18"/>
  <c r="Z57" i="18"/>
  <c r="BA57" i="18"/>
  <c r="AW57" i="18"/>
  <c r="AR57" i="18"/>
  <c r="BR57" i="18"/>
  <c r="BG57" i="18"/>
  <c r="BE57" i="18"/>
  <c r="AX57" i="18"/>
  <c r="AC57" i="18"/>
  <c r="Y57" i="18"/>
  <c r="AZ57" i="18"/>
  <c r="BL57" i="18"/>
  <c r="AN57" i="18"/>
  <c r="X57" i="18"/>
  <c r="S57" i="18"/>
  <c r="AM58" i="18" l="1"/>
  <c r="BR58" i="18"/>
  <c r="AY58" i="18"/>
  <c r="BZ58" i="18"/>
  <c r="W58" i="18"/>
  <c r="AE58" i="18"/>
  <c r="BK58" i="18"/>
  <c r="AL58" i="18"/>
  <c r="BJ58" i="18"/>
  <c r="V58" i="18"/>
  <c r="AT58" i="18"/>
  <c r="AI58" i="18"/>
  <c r="AK58" i="18"/>
  <c r="T58" i="18"/>
  <c r="BB58" i="18"/>
  <c r="BC58" i="18"/>
  <c r="AH58" i="18"/>
  <c r="BG58" i="18"/>
  <c r="AX58" i="18"/>
  <c r="AQ58" i="18"/>
  <c r="BI58" i="18"/>
  <c r="AA58" i="18"/>
  <c r="R58" i="18"/>
  <c r="AU58" i="18"/>
  <c r="AS58" i="18"/>
  <c r="BF58" i="18"/>
  <c r="BA58" i="18"/>
  <c r="AP58" i="18"/>
  <c r="AC58" i="18"/>
  <c r="BM58" i="18"/>
  <c r="AV58" i="18"/>
  <c r="BO58" i="18"/>
  <c r="BE58" i="18"/>
  <c r="U58" i="18"/>
  <c r="AW58" i="18"/>
  <c r="AR58" i="18"/>
  <c r="AO58" i="18"/>
  <c r="AZ58" i="18"/>
  <c r="AG58" i="18"/>
  <c r="AB58" i="18"/>
  <c r="Y58" i="18"/>
  <c r="AJ58" i="18"/>
  <c r="BL58" i="18"/>
  <c r="BQ58" i="18"/>
  <c r="BH58" i="18"/>
  <c r="BP58" i="18"/>
  <c r="AD58" i="18"/>
  <c r="AN58" i="18"/>
  <c r="BX58" i="18"/>
  <c r="AF58" i="18"/>
  <c r="BV58" i="18"/>
  <c r="X58" i="18"/>
  <c r="BS58" i="18"/>
  <c r="BU58" i="18"/>
  <c r="CA58" i="18"/>
  <c r="BY58" i="18"/>
  <c r="BN58" i="18"/>
  <c r="BT58" i="18"/>
  <c r="Z58" i="18"/>
  <c r="BD58" i="18"/>
  <c r="BW58" i="18"/>
  <c r="S58" i="18"/>
  <c r="AY59" i="18" l="1"/>
  <c r="AI59" i="18"/>
  <c r="AK59" i="18"/>
  <c r="AC59" i="18"/>
  <c r="AZ59" i="18"/>
  <c r="BM59" i="18"/>
  <c r="BK59" i="18"/>
  <c r="BE59" i="18"/>
  <c r="BA59" i="18"/>
  <c r="AW59" i="18"/>
  <c r="AS59" i="18"/>
  <c r="BU59" i="18"/>
  <c r="BQ59" i="18"/>
  <c r="BX59" i="18"/>
  <c r="BT59" i="18"/>
  <c r="BP59" i="18"/>
  <c r="BW59" i="18"/>
  <c r="BS59" i="18"/>
  <c r="BO59" i="18"/>
  <c r="BI59" i="18"/>
  <c r="AJ59" i="18"/>
  <c r="BR59" i="18"/>
  <c r="BF59" i="18"/>
  <c r="X59" i="18"/>
  <c r="BY59" i="18"/>
  <c r="BG59" i="18"/>
  <c r="AT59" i="18"/>
  <c r="AL59" i="18"/>
  <c r="V59" i="18"/>
  <c r="Z59" i="18"/>
  <c r="AF59" i="18"/>
  <c r="BV59" i="18"/>
  <c r="AB59" i="18"/>
  <c r="T59" i="18"/>
  <c r="BB59" i="18"/>
  <c r="AD59" i="18"/>
  <c r="BH59" i="18"/>
  <c r="AE59" i="18"/>
  <c r="BN59" i="18"/>
  <c r="BZ59" i="18"/>
  <c r="BL59" i="18"/>
  <c r="AM59" i="18"/>
  <c r="S59" i="18"/>
  <c r="BC59" i="18"/>
  <c r="W59" i="18"/>
  <c r="BJ59" i="18"/>
  <c r="BD59" i="18"/>
  <c r="AX59" i="18"/>
  <c r="AP59" i="18"/>
  <c r="AH59" i="18"/>
  <c r="R59" i="18"/>
  <c r="AR59" i="18"/>
  <c r="AU59" i="18"/>
  <c r="CA59" i="18"/>
  <c r="AQ59" i="18"/>
  <c r="AA59" i="18"/>
  <c r="AO59" i="18"/>
  <c r="AG59" i="18"/>
  <c r="Y59" i="18"/>
  <c r="U59" i="18"/>
  <c r="AV59" i="18"/>
  <c r="AN59" i="18"/>
  <c r="AV60" i="18" l="1"/>
  <c r="AF60" i="18"/>
  <c r="AP60" i="18"/>
  <c r="AJ60" i="18"/>
  <c r="AB60" i="18"/>
  <c r="AI60" i="18"/>
  <c r="BU60" i="18"/>
  <c r="BQ60" i="18"/>
  <c r="BS60" i="18"/>
  <c r="BO60" i="18"/>
  <c r="AE60" i="18"/>
  <c r="Z60" i="18"/>
  <c r="BJ60" i="18"/>
  <c r="BD60" i="18"/>
  <c r="AY60" i="18"/>
  <c r="AT60" i="18"/>
  <c r="S60" i="18"/>
  <c r="BM60" i="18"/>
  <c r="AO60" i="18"/>
  <c r="AR60" i="18"/>
  <c r="R60" i="18"/>
  <c r="V60" i="18"/>
  <c r="AX60" i="18"/>
  <c r="AS60" i="18"/>
  <c r="BI60" i="18"/>
  <c r="BE60" i="18"/>
  <c r="AK60" i="18"/>
  <c r="AG60" i="18"/>
  <c r="W60" i="18"/>
  <c r="BY60" i="18"/>
  <c r="BR60" i="18"/>
  <c r="BN60" i="18"/>
  <c r="BZ60" i="18"/>
  <c r="AC60" i="18"/>
  <c r="Y60" i="18"/>
  <c r="BX60" i="18"/>
  <c r="BT60" i="18"/>
  <c r="BK60" i="18"/>
  <c r="AZ60" i="18"/>
  <c r="AU60" i="18"/>
  <c r="T60" i="18"/>
  <c r="BC60" i="18"/>
  <c r="U60" i="18"/>
  <c r="BP60" i="18"/>
  <c r="BW60" i="18"/>
  <c r="BV60" i="18"/>
  <c r="CA60" i="18"/>
  <c r="BB60" i="18"/>
  <c r="AQ60" i="18"/>
  <c r="AM60" i="18"/>
  <c r="BH60" i="18"/>
  <c r="AD60" i="18"/>
  <c r="X60" i="18"/>
  <c r="BA60" i="18"/>
  <c r="AW60" i="18"/>
  <c r="AL60" i="18"/>
  <c r="AA60" i="18"/>
  <c r="BL60" i="18"/>
  <c r="BG60" i="18"/>
  <c r="AH60" i="18"/>
  <c r="AN60" i="18"/>
  <c r="BF60" i="18"/>
  <c r="V61" i="18" l="1"/>
  <c r="AL61" i="18"/>
  <c r="BB61" i="18"/>
  <c r="BR61" i="18"/>
  <c r="W61" i="18"/>
  <c r="AM61" i="18"/>
  <c r="BC61" i="18"/>
  <c r="BS61" i="18"/>
  <c r="X61" i="18"/>
  <c r="AN61" i="18"/>
  <c r="BD61" i="18"/>
  <c r="BT61" i="18"/>
  <c r="BA61" i="18"/>
  <c r="BE61" i="18"/>
  <c r="BM61" i="18"/>
  <c r="BU61" i="18"/>
  <c r="Z61" i="18"/>
  <c r="AP61" i="18"/>
  <c r="BF61" i="18"/>
  <c r="BV61" i="18"/>
  <c r="AA61" i="18"/>
  <c r="AQ61" i="18"/>
  <c r="BG61" i="18"/>
  <c r="BW61" i="18"/>
  <c r="AB61" i="18"/>
  <c r="AR61" i="18"/>
  <c r="BH61" i="18"/>
  <c r="BY61" i="18"/>
  <c r="AD61" i="18"/>
  <c r="AT61" i="18"/>
  <c r="BJ61" i="18"/>
  <c r="BZ61" i="18"/>
  <c r="AE61" i="18"/>
  <c r="AU61" i="18"/>
  <c r="BK61" i="18"/>
  <c r="CA61" i="18"/>
  <c r="AF61" i="18"/>
  <c r="AV61" i="18"/>
  <c r="BL61" i="18"/>
  <c r="U61" i="18"/>
  <c r="Y61" i="18"/>
  <c r="AC61" i="18"/>
  <c r="AG61" i="18"/>
  <c r="BI61" i="18"/>
  <c r="BX61" i="18"/>
  <c r="R61" i="18"/>
  <c r="AH61" i="18"/>
  <c r="AX61" i="18"/>
  <c r="BN61" i="18"/>
  <c r="S61" i="18"/>
  <c r="AI61" i="18"/>
  <c r="AY61" i="18"/>
  <c r="BO61" i="18"/>
  <c r="T61" i="18"/>
  <c r="AJ61" i="18"/>
  <c r="AZ61" i="18"/>
  <c r="BP61" i="18"/>
  <c r="AK61" i="18"/>
  <c r="AO61" i="18"/>
  <c r="AS61" i="18"/>
  <c r="AW61" i="18"/>
  <c r="BQ61" i="18"/>
  <c r="X62" i="18" l="1"/>
  <c r="AN62" i="18"/>
  <c r="BD62" i="18"/>
  <c r="BT62" i="18"/>
  <c r="AC62" i="18"/>
  <c r="AS62" i="18"/>
  <c r="BI62" i="18"/>
  <c r="BY62" i="18"/>
  <c r="AD62" i="18"/>
  <c r="AT62" i="18"/>
  <c r="BJ62" i="18"/>
  <c r="BZ62" i="18"/>
  <c r="BS62" i="18"/>
  <c r="BW62" i="18"/>
  <c r="CA62" i="18"/>
  <c r="S62" i="18"/>
  <c r="AI62" i="18"/>
  <c r="AB62" i="18"/>
  <c r="AR62" i="18"/>
  <c r="BH62" i="18"/>
  <c r="BX62" i="18"/>
  <c r="AG62" i="18"/>
  <c r="AW62" i="18"/>
  <c r="BM62" i="18"/>
  <c r="R62" i="18"/>
  <c r="AH62" i="18"/>
  <c r="AX62" i="18"/>
  <c r="BN62" i="18"/>
  <c r="W62" i="18"/>
  <c r="AA62" i="18"/>
  <c r="AE62" i="18"/>
  <c r="AF62" i="18"/>
  <c r="AV62" i="18"/>
  <c r="BL62" i="18"/>
  <c r="U62" i="18"/>
  <c r="AK62" i="18"/>
  <c r="BA62" i="18"/>
  <c r="BQ62" i="18"/>
  <c r="V62" i="18"/>
  <c r="AL62" i="18"/>
  <c r="BB62" i="18"/>
  <c r="BR62" i="18"/>
  <c r="AM62" i="18"/>
  <c r="AQ62" i="18"/>
  <c r="AU62" i="18"/>
  <c r="AY62" i="18"/>
  <c r="BO62" i="18"/>
  <c r="T62" i="18"/>
  <c r="AJ62" i="18"/>
  <c r="AZ62" i="18"/>
  <c r="BP62" i="18"/>
  <c r="Y62" i="18"/>
  <c r="AO62" i="18"/>
  <c r="BE62" i="18"/>
  <c r="BU62" i="18"/>
  <c r="Z62" i="18"/>
  <c r="AP62" i="18"/>
  <c r="BF62" i="18"/>
  <c r="BV62" i="18"/>
  <c r="BC62" i="18"/>
  <c r="BG62" i="18"/>
  <c r="BK62" i="18"/>
  <c r="BB63" i="18" l="1"/>
  <c r="AM63" i="18"/>
  <c r="BS63" i="18"/>
  <c r="AN63" i="18"/>
  <c r="BT63" i="18"/>
  <c r="BM63" i="18"/>
  <c r="Z63" i="18"/>
  <c r="AP63" i="18"/>
  <c r="BF63" i="18"/>
  <c r="BV63" i="18"/>
  <c r="AA63" i="18"/>
  <c r="AQ63" i="18"/>
  <c r="BG63" i="18"/>
  <c r="BW63" i="18"/>
  <c r="AB63" i="18"/>
  <c r="AR63" i="18"/>
  <c r="BH63" i="18"/>
  <c r="BX63" i="18"/>
  <c r="BU63" i="18"/>
  <c r="BY63" i="18"/>
  <c r="AK63" i="18"/>
  <c r="AT63" i="18"/>
  <c r="BZ63" i="18"/>
  <c r="AE63" i="18"/>
  <c r="BK63" i="18"/>
  <c r="AF63" i="18"/>
  <c r="BL63" i="18"/>
  <c r="AG63" i="18"/>
  <c r="BI63" i="18"/>
  <c r="AD63" i="18"/>
  <c r="BJ63" i="18"/>
  <c r="AU63" i="18"/>
  <c r="CA63" i="18"/>
  <c r="AV63" i="18"/>
  <c r="Y63" i="18"/>
  <c r="AC63" i="18"/>
  <c r="BA63" i="18"/>
  <c r="R63" i="18"/>
  <c r="AH63" i="18"/>
  <c r="AX63" i="18"/>
  <c r="BN63" i="18"/>
  <c r="S63" i="18"/>
  <c r="AI63" i="18"/>
  <c r="AY63" i="18"/>
  <c r="BO63" i="18"/>
  <c r="T63" i="18"/>
  <c r="AJ63" i="18"/>
  <c r="AZ63" i="18"/>
  <c r="BP63" i="18"/>
  <c r="AO63" i="18"/>
  <c r="AS63" i="18"/>
  <c r="AW63" i="18"/>
  <c r="BQ63" i="18"/>
  <c r="V63" i="18"/>
  <c r="AL63" i="18"/>
  <c r="BR63" i="18"/>
  <c r="W63" i="18"/>
  <c r="BC63" i="18"/>
  <c r="X63" i="18"/>
  <c r="BD63" i="18"/>
  <c r="BE63" i="18"/>
  <c r="U63" i="18"/>
  <c r="X64" i="18" l="1"/>
  <c r="AN64" i="18"/>
  <c r="AC64" i="18"/>
  <c r="BI64" i="18"/>
  <c r="AT64" i="18"/>
  <c r="BZ64" i="18"/>
  <c r="CA64" i="18"/>
  <c r="AB64" i="18"/>
  <c r="AR64" i="18"/>
  <c r="BH64" i="18"/>
  <c r="BX64" i="18"/>
  <c r="AG64" i="18"/>
  <c r="AW64" i="18"/>
  <c r="BM64" i="18"/>
  <c r="R64" i="18"/>
  <c r="AH64" i="18"/>
  <c r="AX64" i="18"/>
  <c r="BN64" i="18"/>
  <c r="AA64" i="18"/>
  <c r="AE64" i="18"/>
  <c r="S64" i="18"/>
  <c r="AM64" i="18"/>
  <c r="N65" i="18"/>
  <c r="O65" i="18" s="1"/>
  <c r="P65" i="18" s="1"/>
  <c r="Q65" i="18" s="1"/>
  <c r="AF64" i="18"/>
  <c r="BL64" i="18"/>
  <c r="AK64" i="18"/>
  <c r="BQ64" i="18"/>
  <c r="AL64" i="18"/>
  <c r="BR64" i="18"/>
  <c r="AQ64" i="18"/>
  <c r="AI64" i="18"/>
  <c r="AV64" i="18"/>
  <c r="U64" i="18"/>
  <c r="BA64" i="18"/>
  <c r="V64" i="18"/>
  <c r="BB64" i="18"/>
  <c r="AU64" i="18"/>
  <c r="BC64" i="18"/>
  <c r="T64" i="18"/>
  <c r="AJ64" i="18"/>
  <c r="AZ64" i="18"/>
  <c r="BP64" i="18"/>
  <c r="Y64" i="18"/>
  <c r="AO64" i="18"/>
  <c r="BE64" i="18"/>
  <c r="BU64" i="18"/>
  <c r="Z64" i="18"/>
  <c r="AP64" i="18"/>
  <c r="BF64" i="18"/>
  <c r="BV64" i="18"/>
  <c r="BG64" i="18"/>
  <c r="BK64" i="18"/>
  <c r="AY64" i="18"/>
  <c r="BS64" i="18"/>
  <c r="BD64" i="18"/>
  <c r="BT64" i="18"/>
  <c r="AS64" i="18"/>
  <c r="BY64" i="18"/>
  <c r="AD64" i="18"/>
  <c r="BJ64" i="18"/>
  <c r="BW64" i="18"/>
  <c r="BO64" i="18"/>
  <c r="W64" i="18"/>
  <c r="V65" i="18" l="1"/>
  <c r="AL65" i="18"/>
  <c r="W65" i="18"/>
  <c r="AM65" i="18"/>
  <c r="BC65" i="18"/>
  <c r="T65" i="18"/>
  <c r="AJ65" i="18"/>
  <c r="AZ65" i="18"/>
  <c r="BP65" i="18"/>
  <c r="AS65" i="18"/>
  <c r="BW65" i="18"/>
  <c r="BM65" i="18"/>
  <c r="AK65" i="18"/>
  <c r="BU65" i="18"/>
  <c r="Z65" i="18"/>
  <c r="AP65" i="18"/>
  <c r="AA65" i="18"/>
  <c r="AQ65" i="18"/>
  <c r="BG65" i="18"/>
  <c r="X65" i="18"/>
  <c r="AN65" i="18"/>
  <c r="BD65" i="18"/>
  <c r="BT65" i="18"/>
  <c r="BB65" i="18"/>
  <c r="AG65" i="18"/>
  <c r="BS65" i="18"/>
  <c r="AX65" i="18"/>
  <c r="BZ65" i="18"/>
  <c r="CA65" i="18"/>
  <c r="N66" i="18"/>
  <c r="O66" i="18" s="1"/>
  <c r="P66" i="18" s="1"/>
  <c r="Q66" i="18" s="1"/>
  <c r="AD65" i="18"/>
  <c r="AT65" i="18"/>
  <c r="AE65" i="18"/>
  <c r="AU65" i="18"/>
  <c r="BK65" i="18"/>
  <c r="AB65" i="18"/>
  <c r="AR65" i="18"/>
  <c r="BH65" i="18"/>
  <c r="BX65" i="18"/>
  <c r="BJ65" i="18"/>
  <c r="AW65" i="18"/>
  <c r="BY65" i="18"/>
  <c r="BF65" i="18"/>
  <c r="AO65" i="18"/>
  <c r="BI65" i="18"/>
  <c r="BV65" i="18"/>
  <c r="BA65" i="18"/>
  <c r="Y65" i="18"/>
  <c r="R65" i="18"/>
  <c r="AH65" i="18"/>
  <c r="S65" i="18"/>
  <c r="AI65" i="18"/>
  <c r="AY65" i="18"/>
  <c r="BO65" i="18"/>
  <c r="AF65" i="18"/>
  <c r="AV65" i="18"/>
  <c r="BL65" i="18"/>
  <c r="AC65" i="18"/>
  <c r="BR65" i="18"/>
  <c r="BE65" i="18"/>
  <c r="U65" i="18"/>
  <c r="BN65" i="18"/>
  <c r="BQ65" i="18"/>
  <c r="V66" i="18" l="1"/>
  <c r="AL66" i="18"/>
  <c r="X66" i="18"/>
  <c r="AS66" i="18"/>
  <c r="BJ66" i="18"/>
  <c r="BZ66" i="18"/>
  <c r="AJ66" i="18"/>
  <c r="BC66" i="18"/>
  <c r="BS66" i="18"/>
  <c r="AA66" i="18"/>
  <c r="AV66" i="18"/>
  <c r="BL66" i="18"/>
  <c r="AG66" i="18"/>
  <c r="BI66" i="18"/>
  <c r="Z66" i="18"/>
  <c r="AP66" i="18"/>
  <c r="AC66" i="18"/>
  <c r="AX66" i="18"/>
  <c r="BN66" i="18"/>
  <c r="T66" i="18"/>
  <c r="AO66" i="18"/>
  <c r="BG66" i="18"/>
  <c r="BW66" i="18"/>
  <c r="AF66" i="18"/>
  <c r="AZ66" i="18"/>
  <c r="BP66" i="18"/>
  <c r="BA66" i="18"/>
  <c r="BU66" i="18"/>
  <c r="BY66" i="18"/>
  <c r="N67" i="18"/>
  <c r="O67" i="18" s="1"/>
  <c r="P67" i="18" s="1"/>
  <c r="Q67" i="18" s="1"/>
  <c r="AD66" i="18"/>
  <c r="AT66" i="18"/>
  <c r="AI66" i="18"/>
  <c r="BB66" i="18"/>
  <c r="BR66" i="18"/>
  <c r="Y66" i="18"/>
  <c r="AU66" i="18"/>
  <c r="BK66" i="18"/>
  <c r="CA66" i="18"/>
  <c r="AK66" i="18"/>
  <c r="BD66" i="18"/>
  <c r="BT66" i="18"/>
  <c r="BQ66" i="18"/>
  <c r="W66" i="18"/>
  <c r="AB66" i="18"/>
  <c r="AR66" i="18"/>
  <c r="BE66" i="18"/>
  <c r="R66" i="18"/>
  <c r="AH66" i="18"/>
  <c r="S66" i="18"/>
  <c r="AN66" i="18"/>
  <c r="BF66" i="18"/>
  <c r="BV66" i="18"/>
  <c r="AE66" i="18"/>
  <c r="AY66" i="18"/>
  <c r="BO66" i="18"/>
  <c r="U66" i="18"/>
  <c r="AQ66" i="18"/>
  <c r="BH66" i="18"/>
  <c r="BX66" i="18"/>
  <c r="AM66" i="18"/>
  <c r="AW66" i="18"/>
  <c r="BM66" i="18"/>
  <c r="X67" i="18" l="1"/>
  <c r="AN67" i="18"/>
  <c r="BD67" i="18"/>
  <c r="BT67" i="18"/>
  <c r="AC67" i="18"/>
  <c r="AS67" i="18"/>
  <c r="BI67" i="18"/>
  <c r="BY67" i="18"/>
  <c r="AD67" i="18"/>
  <c r="AT67" i="18"/>
  <c r="BJ67" i="18"/>
  <c r="BZ67" i="18"/>
  <c r="BS67" i="18"/>
  <c r="BW67" i="18"/>
  <c r="BO67" i="18"/>
  <c r="AB67" i="18"/>
  <c r="AR67" i="18"/>
  <c r="BH67" i="18"/>
  <c r="BX67" i="18"/>
  <c r="AG67" i="18"/>
  <c r="AW67" i="18"/>
  <c r="BM67" i="18"/>
  <c r="R67" i="18"/>
  <c r="AH67" i="18"/>
  <c r="AX67" i="18"/>
  <c r="BN67" i="18"/>
  <c r="W67" i="18"/>
  <c r="AA67" i="18"/>
  <c r="AE67" i="18"/>
  <c r="S67" i="18"/>
  <c r="N68" i="18"/>
  <c r="O68" i="18" s="1"/>
  <c r="P68" i="18" s="1"/>
  <c r="AI67" i="18"/>
  <c r="AF67" i="18"/>
  <c r="AV67" i="18"/>
  <c r="BL67" i="18"/>
  <c r="U67" i="18"/>
  <c r="AK67" i="18"/>
  <c r="BA67" i="18"/>
  <c r="BQ67" i="18"/>
  <c r="V67" i="18"/>
  <c r="AL67" i="18"/>
  <c r="BB67" i="18"/>
  <c r="BR67" i="18"/>
  <c r="AM67" i="18"/>
  <c r="AQ67" i="18"/>
  <c r="AU67" i="18"/>
  <c r="Q68" i="18"/>
  <c r="T67" i="18"/>
  <c r="AJ67" i="18"/>
  <c r="AZ67" i="18"/>
  <c r="BP67" i="18"/>
  <c r="Y67" i="18"/>
  <c r="AO67" i="18"/>
  <c r="BE67" i="18"/>
  <c r="BU67" i="18"/>
  <c r="Z67" i="18"/>
  <c r="AP67" i="18"/>
  <c r="BF67" i="18"/>
  <c r="BV67" i="18"/>
  <c r="BC67" i="18"/>
  <c r="BG67" i="18"/>
  <c r="BK67" i="18"/>
  <c r="AY67" i="18"/>
  <c r="CA67" i="18"/>
  <c r="BR68" i="18" l="1"/>
  <c r="AM68" i="18"/>
  <c r="X68" i="18"/>
  <c r="BD68" i="18"/>
  <c r="BE68" i="18"/>
  <c r="Z68" i="18"/>
  <c r="AP68" i="18"/>
  <c r="BF68" i="18"/>
  <c r="BV68" i="18"/>
  <c r="AA68" i="18"/>
  <c r="AQ68" i="18"/>
  <c r="BG68" i="18"/>
  <c r="BW68" i="18"/>
  <c r="AB68" i="18"/>
  <c r="AR68" i="18"/>
  <c r="BH68" i="18"/>
  <c r="BX68" i="18"/>
  <c r="BU68" i="18"/>
  <c r="BY68" i="18"/>
  <c r="U68" i="18"/>
  <c r="N69" i="18"/>
  <c r="O69" i="18" s="1"/>
  <c r="P69" i="18" s="1"/>
  <c r="Q69" i="18" s="1"/>
  <c r="AD68" i="18"/>
  <c r="AT68" i="18"/>
  <c r="BJ68" i="18"/>
  <c r="AE68" i="18"/>
  <c r="AU68" i="18"/>
  <c r="BK68" i="18"/>
  <c r="AF68" i="18"/>
  <c r="BL68" i="18"/>
  <c r="AC68" i="18"/>
  <c r="AK68" i="18"/>
  <c r="BQ68" i="18"/>
  <c r="BZ68" i="18"/>
  <c r="CA68" i="18"/>
  <c r="AV68" i="18"/>
  <c r="Y68" i="18"/>
  <c r="AG68" i="18"/>
  <c r="BI68" i="18"/>
  <c r="R68" i="18"/>
  <c r="AH68" i="18"/>
  <c r="AX68" i="18"/>
  <c r="BN68" i="18"/>
  <c r="S68" i="18"/>
  <c r="AI68" i="18"/>
  <c r="AY68" i="18"/>
  <c r="BO68" i="18"/>
  <c r="T68" i="18"/>
  <c r="AJ68" i="18"/>
  <c r="AZ68" i="18"/>
  <c r="BP68" i="18"/>
  <c r="AO68" i="18"/>
  <c r="AS68" i="18"/>
  <c r="AW68" i="18"/>
  <c r="BA68" i="18"/>
  <c r="V68" i="18"/>
  <c r="AL68" i="18"/>
  <c r="BB68" i="18"/>
  <c r="W68" i="18"/>
  <c r="BC68" i="18"/>
  <c r="BS68" i="18"/>
  <c r="AN68" i="18"/>
  <c r="BT68" i="18"/>
  <c r="BM68" i="18"/>
  <c r="X69" i="18" l="1"/>
  <c r="BM69" i="18"/>
  <c r="AX69" i="18"/>
  <c r="AA69" i="18"/>
  <c r="BP69" i="18"/>
  <c r="BS69" i="18"/>
  <c r="AV69" i="18"/>
  <c r="U69" i="18"/>
  <c r="AK69" i="18"/>
  <c r="BA69" i="18"/>
  <c r="BQ69" i="18"/>
  <c r="V69" i="18"/>
  <c r="AL69" i="18"/>
  <c r="BB69" i="18"/>
  <c r="BR69" i="18"/>
  <c r="AI69" i="18"/>
  <c r="BO69" i="18"/>
  <c r="AR69" i="18"/>
  <c r="BX69" i="18"/>
  <c r="AU69" i="18"/>
  <c r="CA69" i="18"/>
  <c r="BL69" i="18"/>
  <c r="N70" i="18"/>
  <c r="O70" i="18" s="1"/>
  <c r="P70" i="18" s="1"/>
  <c r="Q70" i="18" s="1"/>
  <c r="BE69" i="18"/>
  <c r="Z69" i="18"/>
  <c r="BF69" i="18"/>
  <c r="AQ69" i="18"/>
  <c r="AZ69" i="18"/>
  <c r="BC69" i="18"/>
  <c r="AN69" i="18"/>
  <c r="Y69" i="18"/>
  <c r="AO69" i="18"/>
  <c r="BU69" i="18"/>
  <c r="AP69" i="18"/>
  <c r="BV69" i="18"/>
  <c r="BW69" i="18"/>
  <c r="S69" i="18"/>
  <c r="W69" i="18"/>
  <c r="T69" i="18"/>
  <c r="AC69" i="18"/>
  <c r="AS69" i="18"/>
  <c r="BI69" i="18"/>
  <c r="BY69" i="18"/>
  <c r="AD69" i="18"/>
  <c r="AT69" i="18"/>
  <c r="BJ69" i="18"/>
  <c r="BZ69" i="18"/>
  <c r="AY69" i="18"/>
  <c r="AB69" i="18"/>
  <c r="BH69" i="18"/>
  <c r="AE69" i="18"/>
  <c r="BK69" i="18"/>
  <c r="BD69" i="18"/>
  <c r="BT69" i="18"/>
  <c r="AG69" i="18"/>
  <c r="AW69" i="18"/>
  <c r="R69" i="18"/>
  <c r="AH69" i="18"/>
  <c r="BN69" i="18"/>
  <c r="BG69" i="18"/>
  <c r="AJ69" i="18"/>
  <c r="AM69" i="18"/>
  <c r="AF69" i="18"/>
  <c r="BX70" i="18" l="1"/>
  <c r="V70" i="18"/>
  <c r="BO70" i="18"/>
  <c r="BA70" i="18"/>
  <c r="BM70" i="18"/>
  <c r="AA70" i="18"/>
  <c r="AF70" i="18"/>
  <c r="AV70" i="18"/>
  <c r="BL70" i="18"/>
  <c r="U70" i="18"/>
  <c r="AS70" i="18"/>
  <c r="BN70" i="18"/>
  <c r="AD70" i="18"/>
  <c r="AY70" i="18"/>
  <c r="BU70" i="18"/>
  <c r="AK70" i="18"/>
  <c r="BF70" i="18"/>
  <c r="CA70" i="18"/>
  <c r="AG70" i="18"/>
  <c r="BG70" i="18"/>
  <c r="N71" i="18"/>
  <c r="O71" i="18" s="1"/>
  <c r="P71" i="18" s="1"/>
  <c r="Q71" i="18" s="1"/>
  <c r="AJ70" i="18"/>
  <c r="AZ70" i="18"/>
  <c r="BP70" i="18"/>
  <c r="AX70" i="18"/>
  <c r="BS70" i="18"/>
  <c r="BE70" i="18"/>
  <c r="AP70" i="18"/>
  <c r="Z70" i="18"/>
  <c r="R70" i="18"/>
  <c r="BR70" i="18"/>
  <c r="T70" i="18"/>
  <c r="AC70" i="18"/>
  <c r="AI70" i="18"/>
  <c r="BZ70" i="18"/>
  <c r="BK70" i="18"/>
  <c r="BB70" i="18"/>
  <c r="AL70" i="18"/>
  <c r="S70" i="18"/>
  <c r="X70" i="18"/>
  <c r="AN70" i="18"/>
  <c r="BD70" i="18"/>
  <c r="BT70" i="18"/>
  <c r="AH70" i="18"/>
  <c r="BC70" i="18"/>
  <c r="BY70" i="18"/>
  <c r="AO70" i="18"/>
  <c r="BJ70" i="18"/>
  <c r="Y70" i="18"/>
  <c r="AU70" i="18"/>
  <c r="BQ70" i="18"/>
  <c r="AW70" i="18"/>
  <c r="BW70" i="18"/>
  <c r="AQ70" i="18"/>
  <c r="W70" i="18"/>
  <c r="AB70" i="18"/>
  <c r="AR70" i="18"/>
  <c r="BH70" i="18"/>
  <c r="AM70" i="18"/>
  <c r="BI70" i="18"/>
  <c r="AT70" i="18"/>
  <c r="AE70" i="18"/>
  <c r="BV70" i="18"/>
  <c r="V71" i="18" l="1"/>
  <c r="T71" i="18"/>
  <c r="AN71" i="18"/>
  <c r="BD71" i="18"/>
  <c r="BT71" i="18"/>
  <c r="AF71" i="18"/>
  <c r="AW71" i="18"/>
  <c r="BM71" i="18"/>
  <c r="W71" i="18"/>
  <c r="AP71" i="18"/>
  <c r="BF71" i="18"/>
  <c r="BK71" i="18"/>
  <c r="BW71" i="18"/>
  <c r="Z71" i="18"/>
  <c r="Y71" i="18"/>
  <c r="AR71" i="18"/>
  <c r="BH71" i="18"/>
  <c r="BX71" i="18"/>
  <c r="AK71" i="18"/>
  <c r="BA71" i="18"/>
  <c r="BQ71" i="18"/>
  <c r="AB71" i="18"/>
  <c r="AT71" i="18"/>
  <c r="BJ71" i="18"/>
  <c r="BZ71" i="18"/>
  <c r="CA71" i="18"/>
  <c r="S71" i="18"/>
  <c r="X71" i="18"/>
  <c r="N72" i="18"/>
  <c r="O72" i="18" s="1"/>
  <c r="P72" i="18" s="1"/>
  <c r="Q72" i="18" s="1"/>
  <c r="AX71" i="18"/>
  <c r="AI71" i="18"/>
  <c r="AM71" i="18"/>
  <c r="AD71" i="18"/>
  <c r="AE71" i="18"/>
  <c r="AV71" i="18"/>
  <c r="BL71" i="18"/>
  <c r="U71" i="18"/>
  <c r="AO71" i="18"/>
  <c r="BE71" i="18"/>
  <c r="BU71" i="18"/>
  <c r="AG71" i="18"/>
  <c r="BN71" i="18"/>
  <c r="AC71" i="18"/>
  <c r="AQ71" i="18"/>
  <c r="R71" i="18"/>
  <c r="AH71" i="18"/>
  <c r="AJ71" i="18"/>
  <c r="AZ71" i="18"/>
  <c r="BP71" i="18"/>
  <c r="AA71" i="18"/>
  <c r="AS71" i="18"/>
  <c r="BI71" i="18"/>
  <c r="BY71" i="18"/>
  <c r="AL71" i="18"/>
  <c r="BB71" i="18"/>
  <c r="BR71" i="18"/>
  <c r="AU71" i="18"/>
  <c r="AY71" i="18"/>
  <c r="BC71" i="18"/>
  <c r="BG71" i="18"/>
  <c r="BV71" i="18"/>
  <c r="BO71" i="18"/>
  <c r="BS71" i="18"/>
  <c r="V72" i="18" l="1"/>
  <c r="BR72" i="18"/>
  <c r="BC72" i="18"/>
  <c r="X72" i="18"/>
  <c r="BD72" i="18"/>
  <c r="BQ72" i="18"/>
  <c r="Z72" i="18"/>
  <c r="AP72" i="18"/>
  <c r="BF72" i="18"/>
  <c r="BV72" i="18"/>
  <c r="AA72" i="18"/>
  <c r="AQ72" i="18"/>
  <c r="BG72" i="18"/>
  <c r="BW72" i="18"/>
  <c r="AB72" i="18"/>
  <c r="AR72" i="18"/>
  <c r="BH72" i="18"/>
  <c r="BX72" i="18"/>
  <c r="U72" i="18"/>
  <c r="Y72" i="18"/>
  <c r="AC72" i="18"/>
  <c r="N73" i="18"/>
  <c r="O73" i="18" s="1"/>
  <c r="P73" i="18" s="1"/>
  <c r="Q73" i="18" s="1"/>
  <c r="AT72" i="18"/>
  <c r="BJ72" i="18"/>
  <c r="AE72" i="18"/>
  <c r="BK72" i="18"/>
  <c r="AF72" i="18"/>
  <c r="BL72" i="18"/>
  <c r="AK72" i="18"/>
  <c r="AS72" i="18"/>
  <c r="AD72" i="18"/>
  <c r="BZ72" i="18"/>
  <c r="AU72" i="18"/>
  <c r="CA72" i="18"/>
  <c r="AV72" i="18"/>
  <c r="AG72" i="18"/>
  <c r="AO72" i="18"/>
  <c r="BY72" i="18"/>
  <c r="R72" i="18"/>
  <c r="AH72" i="18"/>
  <c r="AX72" i="18"/>
  <c r="BN72" i="18"/>
  <c r="S72" i="18"/>
  <c r="AI72" i="18"/>
  <c r="AY72" i="18"/>
  <c r="BO72" i="18"/>
  <c r="T72" i="18"/>
  <c r="AJ72" i="18"/>
  <c r="AZ72" i="18"/>
  <c r="BP72" i="18"/>
  <c r="AW72" i="18"/>
  <c r="BA72" i="18"/>
  <c r="BE72" i="18"/>
  <c r="BI72" i="18"/>
  <c r="AL72" i="18"/>
  <c r="BB72" i="18"/>
  <c r="W72" i="18"/>
  <c r="AM72" i="18"/>
  <c r="BS72" i="18"/>
  <c r="AN72" i="18"/>
  <c r="BT72" i="18"/>
  <c r="BM72" i="18"/>
  <c r="BU72" i="18"/>
  <c r="BT73" i="18" l="1"/>
  <c r="BI73" i="18"/>
  <c r="AD73" i="18"/>
  <c r="BJ73" i="18"/>
  <c r="BO73" i="18"/>
  <c r="CA73" i="18"/>
  <c r="AB73" i="18"/>
  <c r="AR73" i="18"/>
  <c r="BH73" i="18"/>
  <c r="BX73" i="18"/>
  <c r="AG73" i="18"/>
  <c r="AW73" i="18"/>
  <c r="BM73" i="18"/>
  <c r="R73" i="18"/>
  <c r="AH73" i="18"/>
  <c r="AX73" i="18"/>
  <c r="BN73" i="18"/>
  <c r="S73" i="18"/>
  <c r="W73" i="18"/>
  <c r="AA73" i="18"/>
  <c r="AE73" i="18"/>
  <c r="N74" i="18"/>
  <c r="O74" i="18" s="1"/>
  <c r="P74" i="18" s="1"/>
  <c r="Q74" i="18" s="1"/>
  <c r="AV73" i="18"/>
  <c r="BL73" i="18"/>
  <c r="U73" i="18"/>
  <c r="BA73" i="18"/>
  <c r="BQ73" i="18"/>
  <c r="AL73" i="18"/>
  <c r="BR73" i="18"/>
  <c r="AM73" i="18"/>
  <c r="BW73" i="18"/>
  <c r="AF73" i="18"/>
  <c r="AK73" i="18"/>
  <c r="V73" i="18"/>
  <c r="BB73" i="18"/>
  <c r="AI73" i="18"/>
  <c r="AQ73" i="18"/>
  <c r="AU73" i="18"/>
  <c r="T73" i="18"/>
  <c r="AJ73" i="18"/>
  <c r="AZ73" i="18"/>
  <c r="BP73" i="18"/>
  <c r="Y73" i="18"/>
  <c r="AO73" i="18"/>
  <c r="BE73" i="18"/>
  <c r="BU73" i="18"/>
  <c r="Z73" i="18"/>
  <c r="AP73" i="18"/>
  <c r="BF73" i="18"/>
  <c r="BV73" i="18"/>
  <c r="AY73" i="18"/>
  <c r="BC73" i="18"/>
  <c r="BG73" i="18"/>
  <c r="BK73" i="18"/>
  <c r="X73" i="18"/>
  <c r="AN73" i="18"/>
  <c r="BD73" i="18"/>
  <c r="AC73" i="18"/>
  <c r="AS73" i="18"/>
  <c r="BY73" i="18"/>
  <c r="AT73" i="18"/>
  <c r="BZ73" i="18"/>
  <c r="BS73" i="18"/>
  <c r="V74" i="18" l="1"/>
  <c r="BO74" i="18"/>
  <c r="AZ74" i="18"/>
  <c r="AK74" i="18"/>
  <c r="BZ74" i="18"/>
  <c r="BN74" i="18"/>
  <c r="Z74" i="18"/>
  <c r="W74" i="18"/>
  <c r="AM74" i="18"/>
  <c r="BC74" i="18"/>
  <c r="BS74" i="18"/>
  <c r="X74" i="18"/>
  <c r="AN74" i="18"/>
  <c r="BD74" i="18"/>
  <c r="BT74" i="18"/>
  <c r="AS74" i="18"/>
  <c r="BY74" i="18"/>
  <c r="BB74" i="18"/>
  <c r="AC74" i="18"/>
  <c r="BM74" i="18"/>
  <c r="AP74" i="18"/>
  <c r="N75" i="18"/>
  <c r="O75" i="18" s="1"/>
  <c r="P75" i="18" s="1"/>
  <c r="Q75" i="18" s="1"/>
  <c r="AD74" i="18"/>
  <c r="AQ74" i="18"/>
  <c r="BG74" i="18"/>
  <c r="AB74" i="18"/>
  <c r="AR74" i="18"/>
  <c r="BX74" i="18"/>
  <c r="BA74" i="18"/>
  <c r="BJ74" i="18"/>
  <c r="BV74" i="18"/>
  <c r="AA74" i="18"/>
  <c r="BW74" i="18"/>
  <c r="BH74" i="18"/>
  <c r="Y74" i="18"/>
  <c r="AO74" i="18"/>
  <c r="BU74" i="18"/>
  <c r="R74" i="18"/>
  <c r="AH74" i="18"/>
  <c r="AE74" i="18"/>
  <c r="AU74" i="18"/>
  <c r="BK74" i="18"/>
  <c r="CA74" i="18"/>
  <c r="AF74" i="18"/>
  <c r="AV74" i="18"/>
  <c r="BL74" i="18"/>
  <c r="U74" i="18"/>
  <c r="BI74" i="18"/>
  <c r="AL74" i="18"/>
  <c r="BR74" i="18"/>
  <c r="AW74" i="18"/>
  <c r="AG74" i="18"/>
  <c r="AX74" i="18"/>
  <c r="S74" i="18"/>
  <c r="AI74" i="18"/>
  <c r="AY74" i="18"/>
  <c r="T74" i="18"/>
  <c r="AJ74" i="18"/>
  <c r="BP74" i="18"/>
  <c r="BQ74" i="18"/>
  <c r="AT74" i="18"/>
  <c r="BE74" i="18"/>
  <c r="BF74" i="18"/>
  <c r="AO75" i="18" l="1"/>
  <c r="AL75" i="18"/>
  <c r="AE75" i="18"/>
  <c r="AF75" i="18"/>
  <c r="AA75" i="18"/>
  <c r="AJ75" i="18"/>
  <c r="BH75" i="18"/>
  <c r="AC75" i="18"/>
  <c r="AS75" i="18"/>
  <c r="BI75" i="18"/>
  <c r="Z75" i="18"/>
  <c r="AP75" i="18"/>
  <c r="BF75" i="18"/>
  <c r="BV75" i="18"/>
  <c r="AM75" i="18"/>
  <c r="BQ75" i="18"/>
  <c r="AN75" i="18"/>
  <c r="BS75" i="18"/>
  <c r="AI75" i="18"/>
  <c r="BO75" i="18"/>
  <c r="BP75" i="18"/>
  <c r="AZ75" i="18"/>
  <c r="N76" i="18"/>
  <c r="O76" i="18" s="1"/>
  <c r="P76" i="18" s="1"/>
  <c r="Q76" i="18" s="1"/>
  <c r="BM75" i="18"/>
  <c r="AT75" i="18"/>
  <c r="BJ75" i="18"/>
  <c r="AU75" i="18"/>
  <c r="AV75" i="18"/>
  <c r="AQ75" i="18"/>
  <c r="BT75" i="18"/>
  <c r="CA75" i="18"/>
  <c r="AG75" i="18"/>
  <c r="AW75" i="18"/>
  <c r="AD75" i="18"/>
  <c r="BZ75" i="18"/>
  <c r="BW75" i="18"/>
  <c r="BX75" i="18"/>
  <c r="AR75" i="18"/>
  <c r="U75" i="18"/>
  <c r="AK75" i="18"/>
  <c r="BA75" i="18"/>
  <c r="R75" i="18"/>
  <c r="AH75" i="18"/>
  <c r="AX75" i="18"/>
  <c r="BN75" i="18"/>
  <c r="W75" i="18"/>
  <c r="BC75" i="18"/>
  <c r="X75" i="18"/>
  <c r="BD75" i="18"/>
  <c r="S75" i="18"/>
  <c r="AY75" i="18"/>
  <c r="BY75" i="18"/>
  <c r="BU75" i="18"/>
  <c r="AB75" i="18"/>
  <c r="Y75" i="18"/>
  <c r="BE75" i="18"/>
  <c r="V75" i="18"/>
  <c r="BB75" i="18"/>
  <c r="BR75" i="18"/>
  <c r="BK75" i="18"/>
  <c r="BL75" i="18"/>
  <c r="BG75" i="18"/>
  <c r="T75" i="18"/>
  <c r="X76" i="18" l="1"/>
  <c r="AN76" i="18"/>
  <c r="BD76" i="18"/>
  <c r="BT76" i="18"/>
  <c r="AC76" i="18"/>
  <c r="AX76" i="18"/>
  <c r="BS76" i="18"/>
  <c r="AD76" i="18"/>
  <c r="AY76" i="18"/>
  <c r="BU76" i="18"/>
  <c r="AE76" i="18"/>
  <c r="BA76" i="18"/>
  <c r="BV76" i="18"/>
  <c r="BR76" i="18"/>
  <c r="AL76" i="18"/>
  <c r="AB76" i="18"/>
  <c r="AR76" i="18"/>
  <c r="BH76" i="18"/>
  <c r="BX76" i="18"/>
  <c r="AH76" i="18"/>
  <c r="BC76" i="18"/>
  <c r="BY76" i="18"/>
  <c r="AI76" i="18"/>
  <c r="BE76" i="18"/>
  <c r="BZ76" i="18"/>
  <c r="AK76" i="18"/>
  <c r="BF76" i="18"/>
  <c r="CA76" i="18"/>
  <c r="AG76" i="18"/>
  <c r="BG76" i="18"/>
  <c r="N77" i="18"/>
  <c r="O77" i="18" s="1"/>
  <c r="P77" i="18" s="1"/>
  <c r="Q77" i="18" s="1"/>
  <c r="AF76" i="18"/>
  <c r="AV76" i="18"/>
  <c r="BL76" i="18"/>
  <c r="R76" i="18"/>
  <c r="AM76" i="18"/>
  <c r="BI76" i="18"/>
  <c r="S76" i="18"/>
  <c r="AO76" i="18"/>
  <c r="BJ76" i="18"/>
  <c r="U76" i="18"/>
  <c r="AP76" i="18"/>
  <c r="BK76" i="18"/>
  <c r="AA76" i="18"/>
  <c r="BB76" i="18"/>
  <c r="V76" i="18"/>
  <c r="T76" i="18"/>
  <c r="AJ76" i="18"/>
  <c r="AZ76" i="18"/>
  <c r="BP76" i="18"/>
  <c r="W76" i="18"/>
  <c r="AS76" i="18"/>
  <c r="BN76" i="18"/>
  <c r="Y76" i="18"/>
  <c r="AT76" i="18"/>
  <c r="BO76" i="18"/>
  <c r="Z76" i="18"/>
  <c r="AU76" i="18"/>
  <c r="BQ76" i="18"/>
  <c r="AW76" i="18"/>
  <c r="BW76" i="18"/>
  <c r="AQ76" i="18"/>
  <c r="BM76" i="18"/>
  <c r="V77" i="18" l="1"/>
  <c r="Y77" i="18"/>
  <c r="BO77" i="18"/>
  <c r="AQ77" i="18"/>
  <c r="AR77" i="18"/>
  <c r="AC77" i="18"/>
  <c r="BI77" i="18"/>
  <c r="Z77" i="18"/>
  <c r="AP77" i="18"/>
  <c r="BF77" i="18"/>
  <c r="AE77" i="18"/>
  <c r="AZ77" i="18"/>
  <c r="BS77" i="18"/>
  <c r="AA77" i="18"/>
  <c r="AV77" i="18"/>
  <c r="BP77" i="18"/>
  <c r="AB77" i="18"/>
  <c r="AW77" i="18"/>
  <c r="BQ77" i="18"/>
  <c r="AY77" i="18"/>
  <c r="BV77" i="18"/>
  <c r="BZ77" i="18"/>
  <c r="N78" i="18"/>
  <c r="O78" i="18" s="1"/>
  <c r="P78" i="18" s="1"/>
  <c r="Q78" i="18" s="1"/>
  <c r="BJ77" i="18"/>
  <c r="BE77" i="18"/>
  <c r="AF77" i="18"/>
  <c r="BT77" i="18"/>
  <c r="BC77" i="18"/>
  <c r="BR77" i="18"/>
  <c r="AS77" i="18"/>
  <c r="AD77" i="18"/>
  <c r="AT77" i="18"/>
  <c r="AJ77" i="18"/>
  <c r="BW77" i="18"/>
  <c r="BA77" i="18"/>
  <c r="AG77" i="18"/>
  <c r="BU77" i="18"/>
  <c r="S77" i="18"/>
  <c r="X77" i="18"/>
  <c r="R77" i="18"/>
  <c r="AH77" i="18"/>
  <c r="AX77" i="18"/>
  <c r="T77" i="18"/>
  <c r="AO77" i="18"/>
  <c r="BK77" i="18"/>
  <c r="CA77" i="18"/>
  <c r="AK77" i="18"/>
  <c r="BG77" i="18"/>
  <c r="BX77" i="18"/>
  <c r="AM77" i="18"/>
  <c r="BH77" i="18"/>
  <c r="BY77" i="18"/>
  <c r="AI77" i="18"/>
  <c r="AN77" i="18"/>
  <c r="BN77" i="18"/>
  <c r="AL77" i="18"/>
  <c r="BB77" i="18"/>
  <c r="AU77" i="18"/>
  <c r="U77" i="18"/>
  <c r="BL77" i="18"/>
  <c r="W77" i="18"/>
  <c r="BM77" i="18"/>
  <c r="BD77" i="18"/>
  <c r="Z78" i="18" l="1"/>
  <c r="AQ78" i="18"/>
  <c r="BD78" i="18"/>
  <c r="BL78" i="18"/>
  <c r="BP78" i="18"/>
  <c r="AC78" i="18"/>
  <c r="AS78" i="18"/>
  <c r="BI78" i="18"/>
  <c r="BY78" i="18"/>
  <c r="AD78" i="18"/>
  <c r="AT78" i="18"/>
  <c r="BJ78" i="18"/>
  <c r="BZ78" i="18"/>
  <c r="AE78" i="18"/>
  <c r="AU78" i="18"/>
  <c r="BK78" i="18"/>
  <c r="CA78" i="18"/>
  <c r="BT78" i="18"/>
  <c r="BX78" i="18"/>
  <c r="AZ78" i="18"/>
  <c r="N79" i="18"/>
  <c r="O79" i="18" s="1"/>
  <c r="P79" i="18" s="1"/>
  <c r="Q79" i="18" s="1"/>
  <c r="AW78" i="18"/>
  <c r="BM78" i="18"/>
  <c r="R78" i="18"/>
  <c r="AX78" i="18"/>
  <c r="S78" i="18"/>
  <c r="AY78" i="18"/>
  <c r="X78" i="18"/>
  <c r="AG78" i="18"/>
  <c r="AH78" i="18"/>
  <c r="BN78" i="18"/>
  <c r="AI78" i="18"/>
  <c r="BO78" i="18"/>
  <c r="AB78" i="18"/>
  <c r="AF78" i="18"/>
  <c r="U78" i="18"/>
  <c r="AK78" i="18"/>
  <c r="BA78" i="18"/>
  <c r="BQ78" i="18"/>
  <c r="V78" i="18"/>
  <c r="AL78" i="18"/>
  <c r="BB78" i="18"/>
  <c r="BR78" i="18"/>
  <c r="W78" i="18"/>
  <c r="AM78" i="18"/>
  <c r="BC78" i="18"/>
  <c r="BS78" i="18"/>
  <c r="AN78" i="18"/>
  <c r="AR78" i="18"/>
  <c r="AV78" i="18"/>
  <c r="T78" i="18"/>
  <c r="Y78" i="18"/>
  <c r="AO78" i="18"/>
  <c r="BE78" i="18"/>
  <c r="BU78" i="18"/>
  <c r="AP78" i="18"/>
  <c r="BF78" i="18"/>
  <c r="BV78" i="18"/>
  <c r="AA78" i="18"/>
  <c r="BG78" i="18"/>
  <c r="BW78" i="18"/>
  <c r="BH78" i="18"/>
  <c r="AJ78" i="18"/>
  <c r="BS79" i="18" l="1"/>
  <c r="BD79" i="18"/>
  <c r="AC79" i="18"/>
  <c r="BI79" i="18"/>
  <c r="BZ79" i="18"/>
  <c r="AA79" i="18"/>
  <c r="AQ79" i="18"/>
  <c r="BG79" i="18"/>
  <c r="BW79" i="18"/>
  <c r="AB79" i="18"/>
  <c r="AR79" i="18"/>
  <c r="BH79" i="18"/>
  <c r="BX79" i="18"/>
  <c r="AG79" i="18"/>
  <c r="AW79" i="18"/>
  <c r="BM79" i="18"/>
  <c r="Z79" i="18"/>
  <c r="AD79" i="18"/>
  <c r="R79" i="18"/>
  <c r="BB79" i="18"/>
  <c r="N80" i="18"/>
  <c r="O80" i="18" s="1"/>
  <c r="P80" i="18" s="1"/>
  <c r="Q80" i="18" s="1"/>
  <c r="AU79" i="18"/>
  <c r="BK79" i="18"/>
  <c r="AF79" i="18"/>
  <c r="AV79" i="18"/>
  <c r="U79" i="18"/>
  <c r="BA79" i="18"/>
  <c r="AT79" i="18"/>
  <c r="BR79" i="18"/>
  <c r="BN79" i="18"/>
  <c r="AE79" i="18"/>
  <c r="CA79" i="18"/>
  <c r="BL79" i="18"/>
  <c r="AK79" i="18"/>
  <c r="BQ79" i="18"/>
  <c r="AP79" i="18"/>
  <c r="AH79" i="18"/>
  <c r="AL79" i="18"/>
  <c r="S79" i="18"/>
  <c r="AI79" i="18"/>
  <c r="AY79" i="18"/>
  <c r="BO79" i="18"/>
  <c r="T79" i="18"/>
  <c r="AJ79" i="18"/>
  <c r="AZ79" i="18"/>
  <c r="BP79" i="18"/>
  <c r="Y79" i="18"/>
  <c r="AO79" i="18"/>
  <c r="BE79" i="18"/>
  <c r="BU79" i="18"/>
  <c r="BF79" i="18"/>
  <c r="BJ79" i="18"/>
  <c r="AX79" i="18"/>
  <c r="V79" i="18"/>
  <c r="W79" i="18"/>
  <c r="AM79" i="18"/>
  <c r="BC79" i="18"/>
  <c r="X79" i="18"/>
  <c r="AN79" i="18"/>
  <c r="BT79" i="18"/>
  <c r="AS79" i="18"/>
  <c r="BY79" i="18"/>
  <c r="BV79" i="18"/>
  <c r="Y80" i="18" l="1"/>
  <c r="AO80" i="18"/>
  <c r="BE80" i="18"/>
  <c r="BU80" i="18"/>
  <c r="Z80" i="18"/>
  <c r="AP80" i="18"/>
  <c r="BF80" i="18"/>
  <c r="BV80" i="18"/>
  <c r="AA80" i="18"/>
  <c r="BG80" i="18"/>
  <c r="BP80" i="18"/>
  <c r="AC80" i="18"/>
  <c r="AS80" i="18"/>
  <c r="BI80" i="18"/>
  <c r="BY80" i="18"/>
  <c r="AD80" i="18"/>
  <c r="AT80" i="18"/>
  <c r="BJ80" i="18"/>
  <c r="BZ80" i="18"/>
  <c r="AE80" i="18"/>
  <c r="AU80" i="18"/>
  <c r="BK80" i="18"/>
  <c r="CA80" i="18"/>
  <c r="BX80" i="18"/>
  <c r="T80" i="18"/>
  <c r="BD80" i="18"/>
  <c r="N81" i="18"/>
  <c r="O81" i="18" s="1"/>
  <c r="P81" i="18" s="1"/>
  <c r="Q81" i="18" s="1"/>
  <c r="AG80" i="18"/>
  <c r="AW80" i="18"/>
  <c r="BM80" i="18"/>
  <c r="R80" i="18"/>
  <c r="AH80" i="18"/>
  <c r="AX80" i="18"/>
  <c r="BN80" i="18"/>
  <c r="S80" i="18"/>
  <c r="AI80" i="18"/>
  <c r="AY80" i="18"/>
  <c r="BO80" i="18"/>
  <c r="AB80" i="18"/>
  <c r="AF80" i="18"/>
  <c r="AJ80" i="18"/>
  <c r="BT80" i="18"/>
  <c r="AQ80" i="18"/>
  <c r="BW80" i="18"/>
  <c r="BL80" i="18"/>
  <c r="U80" i="18"/>
  <c r="AK80" i="18"/>
  <c r="BA80" i="18"/>
  <c r="BQ80" i="18"/>
  <c r="V80" i="18"/>
  <c r="AL80" i="18"/>
  <c r="BB80" i="18"/>
  <c r="BR80" i="18"/>
  <c r="W80" i="18"/>
  <c r="AM80" i="18"/>
  <c r="BC80" i="18"/>
  <c r="BS80" i="18"/>
  <c r="AR80" i="18"/>
  <c r="AV80" i="18"/>
  <c r="AZ80" i="18"/>
  <c r="X80" i="18"/>
  <c r="BH80" i="18"/>
  <c r="AN80" i="18"/>
  <c r="W81" i="18" l="1"/>
  <c r="AB81" i="18"/>
  <c r="AR81" i="18"/>
  <c r="BH81" i="18"/>
  <c r="BX81" i="18"/>
  <c r="AG81" i="18"/>
  <c r="AW81" i="18"/>
  <c r="BM81" i="18"/>
  <c r="AD81" i="18"/>
  <c r="BJ81" i="18"/>
  <c r="AE81" i="18"/>
  <c r="BK81" i="18"/>
  <c r="AH81" i="18"/>
  <c r="BN81" i="18"/>
  <c r="AY81" i="18"/>
  <c r="BO81" i="18"/>
  <c r="BS81" i="18"/>
  <c r="BV81" i="18"/>
  <c r="N82" i="18"/>
  <c r="O82" i="18" s="1"/>
  <c r="P82" i="18" s="1"/>
  <c r="Q82" i="18" s="1"/>
  <c r="AJ81" i="18"/>
  <c r="Y81" i="18"/>
  <c r="BZ81" i="18"/>
  <c r="AX81" i="18"/>
  <c r="X81" i="18"/>
  <c r="AC81" i="18"/>
  <c r="BB81" i="18"/>
  <c r="BF81" i="18"/>
  <c r="AA81" i="18"/>
  <c r="AF81" i="18"/>
  <c r="AV81" i="18"/>
  <c r="BL81" i="18"/>
  <c r="U81" i="18"/>
  <c r="AK81" i="18"/>
  <c r="BA81" i="18"/>
  <c r="BQ81" i="18"/>
  <c r="AL81" i="18"/>
  <c r="BR81" i="18"/>
  <c r="AM81" i="18"/>
  <c r="AP81" i="18"/>
  <c r="Z81" i="18"/>
  <c r="AZ81" i="18"/>
  <c r="AO81" i="18"/>
  <c r="AT81" i="18"/>
  <c r="AU81" i="18"/>
  <c r="AQ81" i="18"/>
  <c r="BD81" i="18"/>
  <c r="AS81" i="18"/>
  <c r="BY81" i="18"/>
  <c r="BC81" i="18"/>
  <c r="BW81" i="18"/>
  <c r="T81" i="18"/>
  <c r="BP81" i="18"/>
  <c r="BE81" i="18"/>
  <c r="BU81" i="18"/>
  <c r="CA81" i="18"/>
  <c r="BG81" i="18"/>
  <c r="S81" i="18"/>
  <c r="AN81" i="18"/>
  <c r="BT81" i="18"/>
  <c r="BI81" i="18"/>
  <c r="R81" i="18"/>
  <c r="V81" i="18"/>
  <c r="AI81" i="18"/>
  <c r="V82" i="18" l="1"/>
  <c r="AL82" i="18"/>
  <c r="BB82" i="18"/>
  <c r="S82" i="18"/>
  <c r="AI82" i="18"/>
  <c r="AY82" i="18"/>
  <c r="BO82" i="18"/>
  <c r="X82" i="18"/>
  <c r="BD82" i="18"/>
  <c r="Y82" i="18"/>
  <c r="BE82" i="18"/>
  <c r="T82" i="18"/>
  <c r="AZ82" i="18"/>
  <c r="BA82" i="18"/>
  <c r="AB82" i="18"/>
  <c r="AC82" i="18"/>
  <c r="Z82" i="18"/>
  <c r="AP82" i="18"/>
  <c r="BF82" i="18"/>
  <c r="W82" i="18"/>
  <c r="AM82" i="18"/>
  <c r="BC82" i="18"/>
  <c r="BS82" i="18"/>
  <c r="AF82" i="18"/>
  <c r="BL82" i="18"/>
  <c r="AG82" i="18"/>
  <c r="BM82" i="18"/>
  <c r="AS82" i="18"/>
  <c r="AD82" i="18"/>
  <c r="AT82" i="18"/>
  <c r="BJ82" i="18"/>
  <c r="AA82" i="18"/>
  <c r="AQ82" i="18"/>
  <c r="BG82" i="18"/>
  <c r="BW82" i="18"/>
  <c r="AN82" i="18"/>
  <c r="BR82" i="18"/>
  <c r="AO82" i="18"/>
  <c r="BT82" i="18"/>
  <c r="AJ82" i="18"/>
  <c r="BP82" i="18"/>
  <c r="BV82" i="18"/>
  <c r="BI82" i="18"/>
  <c r="R82" i="18"/>
  <c r="AH82" i="18"/>
  <c r="AX82" i="18"/>
  <c r="BN82" i="18"/>
  <c r="AE82" i="18"/>
  <c r="AU82" i="18"/>
  <c r="BK82" i="18"/>
  <c r="CA82" i="18"/>
  <c r="AV82" i="18"/>
  <c r="BX82" i="18"/>
  <c r="AW82" i="18"/>
  <c r="BY82" i="18"/>
  <c r="AR82" i="18"/>
  <c r="BU82" i="18"/>
  <c r="U82" i="18"/>
  <c r="AK82" i="18"/>
  <c r="BZ82" i="18"/>
  <c r="BQ82" i="18"/>
  <c r="BH82" i="18"/>
  <c r="N83" i="18"/>
  <c r="O83" i="18" s="1"/>
  <c r="P83" i="18" s="1"/>
  <c r="Q83" i="18" s="1"/>
  <c r="U83" i="18" l="1"/>
  <c r="AK83" i="18"/>
  <c r="BA83" i="18"/>
  <c r="BQ83" i="18"/>
  <c r="X83" i="18"/>
  <c r="AT83" i="18"/>
  <c r="BO83" i="18"/>
  <c r="Z83" i="18"/>
  <c r="AU83" i="18"/>
  <c r="BP83" i="18"/>
  <c r="AA83" i="18"/>
  <c r="AV83" i="18"/>
  <c r="BR83" i="18"/>
  <c r="BX83" i="18"/>
  <c r="W83" i="18"/>
  <c r="AB83" i="18"/>
  <c r="BU83" i="18"/>
  <c r="AE83" i="18"/>
  <c r="BB83" i="18"/>
  <c r="R83" i="18"/>
  <c r="AH83" i="18"/>
  <c r="Y83" i="18"/>
  <c r="AO83" i="18"/>
  <c r="BE83" i="18"/>
  <c r="AY83" i="18"/>
  <c r="BT83" i="18"/>
  <c r="AF83" i="18"/>
  <c r="AR83" i="18"/>
  <c r="BN83" i="18"/>
  <c r="AC83" i="18"/>
  <c r="AS83" i="18"/>
  <c r="BI83" i="18"/>
  <c r="BY83" i="18"/>
  <c r="AI83" i="18"/>
  <c r="BD83" i="18"/>
  <c r="BZ83" i="18"/>
  <c r="AJ83" i="18"/>
  <c r="BF83" i="18"/>
  <c r="CA83" i="18"/>
  <c r="AL83" i="18"/>
  <c r="BG83" i="18"/>
  <c r="N84" i="18"/>
  <c r="O84" i="18" s="1"/>
  <c r="P84" i="18" s="1"/>
  <c r="AG83" i="18"/>
  <c r="AW83" i="18"/>
  <c r="BM83" i="18"/>
  <c r="S83" i="18"/>
  <c r="AN83" i="18"/>
  <c r="BJ83" i="18"/>
  <c r="T83" i="18"/>
  <c r="AP83" i="18"/>
  <c r="BK83" i="18"/>
  <c r="V83" i="18"/>
  <c r="AQ83" i="18"/>
  <c r="BL83" i="18"/>
  <c r="BC83" i="18"/>
  <c r="BH83" i="18"/>
  <c r="BS83" i="18"/>
  <c r="Q84" i="18"/>
  <c r="AD83" i="18"/>
  <c r="AZ83" i="18"/>
  <c r="BV83" i="18"/>
  <c r="BW83" i="18"/>
  <c r="AX83" i="18"/>
  <c r="AM83" i="18"/>
  <c r="W84" i="18" l="1"/>
  <c r="BC84" i="18"/>
  <c r="AV84" i="18"/>
  <c r="BB84" i="18"/>
  <c r="BY84" i="18"/>
  <c r="AA84" i="18"/>
  <c r="AQ84" i="18"/>
  <c r="BG84" i="18"/>
  <c r="BW84" i="18"/>
  <c r="AF84" i="18"/>
  <c r="BA84" i="18"/>
  <c r="BV84" i="18"/>
  <c r="AL84" i="18"/>
  <c r="BH84" i="18"/>
  <c r="R84" i="18"/>
  <c r="AN84" i="18"/>
  <c r="BI84" i="18"/>
  <c r="AJ84" i="18"/>
  <c r="AO84" i="18"/>
  <c r="BP84" i="18"/>
  <c r="N85" i="18"/>
  <c r="O85" i="18" s="1"/>
  <c r="P85" i="18" s="1"/>
  <c r="Q85" i="18" s="1"/>
  <c r="AU84" i="18"/>
  <c r="BK84" i="18"/>
  <c r="AK84" i="18"/>
  <c r="V84" i="18"/>
  <c r="BM84" i="18"/>
  <c r="AS84" i="18"/>
  <c r="BE84" i="18"/>
  <c r="AD84" i="18"/>
  <c r="BX84" i="18"/>
  <c r="T84" i="18"/>
  <c r="AE84" i="18"/>
  <c r="CA84" i="18"/>
  <c r="BF84" i="18"/>
  <c r="AR84" i="18"/>
  <c r="X84" i="18"/>
  <c r="BN84" i="18"/>
  <c r="BJ84" i="18"/>
  <c r="AG84" i="18"/>
  <c r="BD84" i="18"/>
  <c r="AT84" i="18"/>
  <c r="S84" i="18"/>
  <c r="AI84" i="18"/>
  <c r="AY84" i="18"/>
  <c r="BO84" i="18"/>
  <c r="U84" i="18"/>
  <c r="AP84" i="18"/>
  <c r="BL84" i="18"/>
  <c r="AB84" i="18"/>
  <c r="AW84" i="18"/>
  <c r="BR84" i="18"/>
  <c r="AC84" i="18"/>
  <c r="AX84" i="18"/>
  <c r="BT84" i="18"/>
  <c r="BZ84" i="18"/>
  <c r="Y84" i="18"/>
  <c r="AZ84" i="18"/>
  <c r="AM84" i="18"/>
  <c r="BS84" i="18"/>
  <c r="Z84" i="18"/>
  <c r="BQ84" i="18"/>
  <c r="AH84" i="18"/>
  <c r="BU84" i="18"/>
  <c r="Y85" i="18" l="1"/>
  <c r="AF85" i="18"/>
  <c r="AV85" i="18"/>
  <c r="BL85" i="18"/>
  <c r="S85" i="18"/>
  <c r="AK85" i="18"/>
  <c r="BA85" i="18"/>
  <c r="BQ85" i="18"/>
  <c r="Z85" i="18"/>
  <c r="AP85" i="18"/>
  <c r="BF85" i="18"/>
  <c r="BV85" i="18"/>
  <c r="BO85" i="18"/>
  <c r="BS85" i="18"/>
  <c r="BW85" i="18"/>
  <c r="CA85" i="18"/>
  <c r="N86" i="18"/>
  <c r="O86" i="18" s="1"/>
  <c r="P86" i="18" s="1"/>
  <c r="Q86" i="18" s="1"/>
  <c r="R85" i="18"/>
  <c r="AJ85" i="18"/>
  <c r="AZ85" i="18"/>
  <c r="BP85" i="18"/>
  <c r="X85" i="18"/>
  <c r="AO85" i="18"/>
  <c r="BE85" i="18"/>
  <c r="BU85" i="18"/>
  <c r="AD85" i="18"/>
  <c r="AT85" i="18"/>
  <c r="BJ85" i="18"/>
  <c r="BZ85" i="18"/>
  <c r="V85" i="18"/>
  <c r="AA85" i="18"/>
  <c r="AE85" i="18"/>
  <c r="W85" i="18"/>
  <c r="AN85" i="18"/>
  <c r="BD85" i="18"/>
  <c r="BT85" i="18"/>
  <c r="AC85" i="18"/>
  <c r="AS85" i="18"/>
  <c r="BI85" i="18"/>
  <c r="BY85" i="18"/>
  <c r="AH85" i="18"/>
  <c r="AX85" i="18"/>
  <c r="BN85" i="18"/>
  <c r="AI85" i="18"/>
  <c r="AM85" i="18"/>
  <c r="AQ85" i="18"/>
  <c r="AU85" i="18"/>
  <c r="U85" i="18"/>
  <c r="AB85" i="18"/>
  <c r="AR85" i="18"/>
  <c r="BH85" i="18"/>
  <c r="BX85" i="18"/>
  <c r="AG85" i="18"/>
  <c r="AW85" i="18"/>
  <c r="BM85" i="18"/>
  <c r="T85" i="18"/>
  <c r="AL85" i="18"/>
  <c r="BB85" i="18"/>
  <c r="BR85" i="18"/>
  <c r="AY85" i="18"/>
  <c r="BC85" i="18"/>
  <c r="BG85" i="18"/>
  <c r="BK85" i="18"/>
  <c r="V86" i="18" l="1"/>
  <c r="AL86" i="18"/>
  <c r="BB86" i="18"/>
  <c r="BR86" i="18"/>
  <c r="W86" i="18"/>
  <c r="AM86" i="18"/>
  <c r="BC86" i="18"/>
  <c r="BS86" i="18"/>
  <c r="AN86" i="18"/>
  <c r="BT86" i="18"/>
  <c r="BE86" i="18"/>
  <c r="Z86" i="18"/>
  <c r="AP86" i="18"/>
  <c r="BF86" i="18"/>
  <c r="BV86" i="18"/>
  <c r="AA86" i="18"/>
  <c r="AQ86" i="18"/>
  <c r="BG86" i="18"/>
  <c r="BW86" i="18"/>
  <c r="AB86" i="18"/>
  <c r="AR86" i="18"/>
  <c r="BH86" i="18"/>
  <c r="BX86" i="18"/>
  <c r="BQ86" i="18"/>
  <c r="BU86" i="18"/>
  <c r="BY86" i="18"/>
  <c r="N87" i="18"/>
  <c r="O87" i="18" s="1"/>
  <c r="P87" i="18" s="1"/>
  <c r="Q87" i="18" s="1"/>
  <c r="BL86" i="18"/>
  <c r="AC86" i="18"/>
  <c r="BI86" i="18"/>
  <c r="AD86" i="18"/>
  <c r="AT86" i="18"/>
  <c r="BJ86" i="18"/>
  <c r="BZ86" i="18"/>
  <c r="AE86" i="18"/>
  <c r="AU86" i="18"/>
  <c r="BK86" i="18"/>
  <c r="CA86" i="18"/>
  <c r="AF86" i="18"/>
  <c r="AV86" i="18"/>
  <c r="U86" i="18"/>
  <c r="Y86" i="18"/>
  <c r="AG86" i="18"/>
  <c r="R86" i="18"/>
  <c r="AH86" i="18"/>
  <c r="AX86" i="18"/>
  <c r="BN86" i="18"/>
  <c r="S86" i="18"/>
  <c r="AI86" i="18"/>
  <c r="AY86" i="18"/>
  <c r="BO86" i="18"/>
  <c r="T86" i="18"/>
  <c r="AJ86" i="18"/>
  <c r="AZ86" i="18"/>
  <c r="BP86" i="18"/>
  <c r="AK86" i="18"/>
  <c r="AO86" i="18"/>
  <c r="AS86" i="18"/>
  <c r="AW86" i="18"/>
  <c r="X86" i="18"/>
  <c r="BD86" i="18"/>
  <c r="BA86" i="18"/>
  <c r="BM86" i="18"/>
  <c r="X87" i="18" l="1"/>
  <c r="AN87" i="18"/>
  <c r="BD87" i="18"/>
  <c r="BT87" i="18"/>
  <c r="AC87" i="18"/>
  <c r="AS87" i="18"/>
  <c r="BI87" i="18"/>
  <c r="BY87" i="18"/>
  <c r="AD87" i="18"/>
  <c r="AT87" i="18"/>
  <c r="BJ87" i="18"/>
  <c r="BZ87" i="18"/>
  <c r="S87" i="18"/>
  <c r="AB87" i="18"/>
  <c r="AR87" i="18"/>
  <c r="BH87" i="18"/>
  <c r="BX87" i="18"/>
  <c r="AG87" i="18"/>
  <c r="AW87" i="18"/>
  <c r="BM87" i="18"/>
  <c r="R87" i="18"/>
  <c r="AH87" i="18"/>
  <c r="AX87" i="18"/>
  <c r="BN87" i="18"/>
  <c r="W87" i="18"/>
  <c r="AA87" i="18"/>
  <c r="AE87" i="18"/>
  <c r="AI87" i="18"/>
  <c r="N88" i="18"/>
  <c r="O88" i="18" s="1"/>
  <c r="P88" i="18" s="1"/>
  <c r="Q88" i="18" s="1"/>
  <c r="BS87" i="18"/>
  <c r="AF87" i="18"/>
  <c r="AV87" i="18"/>
  <c r="BL87" i="18"/>
  <c r="U87" i="18"/>
  <c r="AK87" i="18"/>
  <c r="BA87" i="18"/>
  <c r="BQ87" i="18"/>
  <c r="V87" i="18"/>
  <c r="AL87" i="18"/>
  <c r="BB87" i="18"/>
  <c r="BR87" i="18"/>
  <c r="AM87" i="18"/>
  <c r="AQ87" i="18"/>
  <c r="AU87" i="18"/>
  <c r="AY87" i="18"/>
  <c r="CA87" i="18"/>
  <c r="T87" i="18"/>
  <c r="AJ87" i="18"/>
  <c r="AZ87" i="18"/>
  <c r="BP87" i="18"/>
  <c r="Y87" i="18"/>
  <c r="AO87" i="18"/>
  <c r="BE87" i="18"/>
  <c r="BU87" i="18"/>
  <c r="Z87" i="18"/>
  <c r="AP87" i="18"/>
  <c r="BF87" i="18"/>
  <c r="BV87" i="18"/>
  <c r="BC87" i="18"/>
  <c r="BG87" i="18"/>
  <c r="BK87" i="18"/>
  <c r="BO87" i="18"/>
  <c r="BW87" i="18"/>
  <c r="W88" i="18" l="1"/>
  <c r="BS88" i="18"/>
  <c r="AN88" i="18"/>
  <c r="BT88" i="18"/>
  <c r="BI88" i="18"/>
  <c r="Z88" i="18"/>
  <c r="AP88" i="18"/>
  <c r="BF88" i="18"/>
  <c r="BV88" i="18"/>
  <c r="AA88" i="18"/>
  <c r="AQ88" i="18"/>
  <c r="BG88" i="18"/>
  <c r="BW88" i="18"/>
  <c r="AB88" i="18"/>
  <c r="AR88" i="18"/>
  <c r="BH88" i="18"/>
  <c r="BX88" i="18"/>
  <c r="BU88" i="18"/>
  <c r="BY88" i="18"/>
  <c r="AK88" i="18"/>
  <c r="N89" i="18"/>
  <c r="O89" i="18" s="1"/>
  <c r="P89" i="18" s="1"/>
  <c r="Q89" i="18" s="1"/>
  <c r="AT88" i="18"/>
  <c r="BZ88" i="18"/>
  <c r="AE88" i="18"/>
  <c r="BK88" i="18"/>
  <c r="AF88" i="18"/>
  <c r="BL88" i="18"/>
  <c r="AC88" i="18"/>
  <c r="BA88" i="18"/>
  <c r="U88" i="18"/>
  <c r="AD88" i="18"/>
  <c r="BJ88" i="18"/>
  <c r="AU88" i="18"/>
  <c r="CA88" i="18"/>
  <c r="AV88" i="18"/>
  <c r="Y88" i="18"/>
  <c r="AG88" i="18"/>
  <c r="R88" i="18"/>
  <c r="AH88" i="18"/>
  <c r="AX88" i="18"/>
  <c r="BN88" i="18"/>
  <c r="S88" i="18"/>
  <c r="AI88" i="18"/>
  <c r="AY88" i="18"/>
  <c r="BO88" i="18"/>
  <c r="T88" i="18"/>
  <c r="AJ88" i="18"/>
  <c r="AZ88" i="18"/>
  <c r="BP88" i="18"/>
  <c r="AO88" i="18"/>
  <c r="AS88" i="18"/>
  <c r="AW88" i="18"/>
  <c r="BQ88" i="18"/>
  <c r="V88" i="18"/>
  <c r="AL88" i="18"/>
  <c r="BB88" i="18"/>
  <c r="BR88" i="18"/>
  <c r="AM88" i="18"/>
  <c r="BC88" i="18"/>
  <c r="X88" i="18"/>
  <c r="BD88" i="18"/>
  <c r="BE88" i="18"/>
  <c r="BM88" i="18"/>
  <c r="X89" i="18" l="1"/>
  <c r="AN89" i="18"/>
  <c r="BD89" i="18"/>
  <c r="BT89" i="18"/>
  <c r="AS89" i="18"/>
  <c r="BY89" i="18"/>
  <c r="BW89" i="18"/>
  <c r="AB89" i="18"/>
  <c r="AR89" i="18"/>
  <c r="BH89" i="18"/>
  <c r="BX89" i="18"/>
  <c r="AG89" i="18"/>
  <c r="AW89" i="18"/>
  <c r="BM89" i="18"/>
  <c r="R89" i="18"/>
  <c r="AH89" i="18"/>
  <c r="AX89" i="18"/>
  <c r="BN89" i="18"/>
  <c r="AA89" i="18"/>
  <c r="AE89" i="18"/>
  <c r="S89" i="18"/>
  <c r="AM89" i="18"/>
  <c r="N90" i="18"/>
  <c r="O90" i="18" s="1"/>
  <c r="P90" i="18" s="1"/>
  <c r="Q90" i="18" s="1"/>
  <c r="AQ89" i="18"/>
  <c r="AI89" i="18"/>
  <c r="BJ89" i="18"/>
  <c r="W89" i="18"/>
  <c r="AF89" i="18"/>
  <c r="AV89" i="18"/>
  <c r="BL89" i="18"/>
  <c r="U89" i="18"/>
  <c r="AK89" i="18"/>
  <c r="BA89" i="18"/>
  <c r="BQ89" i="18"/>
  <c r="V89" i="18"/>
  <c r="AL89" i="18"/>
  <c r="BB89" i="18"/>
  <c r="BR89" i="18"/>
  <c r="AU89" i="18"/>
  <c r="BC89" i="18"/>
  <c r="BZ89" i="18"/>
  <c r="BO89" i="18"/>
  <c r="T89" i="18"/>
  <c r="AJ89" i="18"/>
  <c r="AZ89" i="18"/>
  <c r="BP89" i="18"/>
  <c r="Y89" i="18"/>
  <c r="AO89" i="18"/>
  <c r="BE89" i="18"/>
  <c r="BU89" i="18"/>
  <c r="Z89" i="18"/>
  <c r="AP89" i="18"/>
  <c r="BF89" i="18"/>
  <c r="BV89" i="18"/>
  <c r="BG89" i="18"/>
  <c r="BK89" i="18"/>
  <c r="AY89" i="18"/>
  <c r="BS89" i="18"/>
  <c r="AC89" i="18"/>
  <c r="BI89" i="18"/>
  <c r="AD89" i="18"/>
  <c r="AT89" i="18"/>
  <c r="CA89" i="18"/>
  <c r="V90" i="18" l="1"/>
  <c r="AE90" i="18"/>
  <c r="AU90" i="18"/>
  <c r="BK90" i="18"/>
  <c r="CA90" i="18"/>
  <c r="AV90" i="18"/>
  <c r="Z90" i="18"/>
  <c r="AK90" i="18"/>
  <c r="AL90" i="18"/>
  <c r="S90" i="18"/>
  <c r="AI90" i="18"/>
  <c r="AY90" i="18"/>
  <c r="BO90" i="18"/>
  <c r="T90" i="18"/>
  <c r="AJ90" i="18"/>
  <c r="AZ90" i="18"/>
  <c r="BP90" i="18"/>
  <c r="AH90" i="18"/>
  <c r="BN90" i="18"/>
  <c r="AS90" i="18"/>
  <c r="BY90" i="18"/>
  <c r="AT90" i="18"/>
  <c r="BZ90" i="18"/>
  <c r="BU90" i="18"/>
  <c r="N91" i="18"/>
  <c r="O91" i="18" s="1"/>
  <c r="P91" i="18" s="1"/>
  <c r="Q91" i="18" s="1"/>
  <c r="AG90" i="18"/>
  <c r="BE90" i="18"/>
  <c r="W90" i="18"/>
  <c r="AM90" i="18"/>
  <c r="BC90" i="18"/>
  <c r="BS90" i="18"/>
  <c r="X90" i="18"/>
  <c r="AN90" i="18"/>
  <c r="BD90" i="18"/>
  <c r="BT90" i="18"/>
  <c r="AP90" i="18"/>
  <c r="BV90" i="18"/>
  <c r="BA90" i="18"/>
  <c r="U90" i="18"/>
  <c r="BB90" i="18"/>
  <c r="AW90" i="18"/>
  <c r="R90" i="18"/>
  <c r="AA90" i="18"/>
  <c r="AQ90" i="18"/>
  <c r="BG90" i="18"/>
  <c r="BW90" i="18"/>
  <c r="AB90" i="18"/>
  <c r="AR90" i="18"/>
  <c r="BH90" i="18"/>
  <c r="BX90" i="18"/>
  <c r="AX90" i="18"/>
  <c r="AC90" i="18"/>
  <c r="BI90" i="18"/>
  <c r="AD90" i="18"/>
  <c r="BJ90" i="18"/>
  <c r="BM90" i="18"/>
  <c r="Y90" i="18"/>
  <c r="AF90" i="18"/>
  <c r="BL90" i="18"/>
  <c r="BF90" i="18"/>
  <c r="BQ90" i="18"/>
  <c r="BR90" i="18"/>
  <c r="AO90" i="18"/>
  <c r="AH91" i="18" l="1"/>
  <c r="AZ91" i="18"/>
  <c r="AU91" i="18"/>
  <c r="AV91" i="18"/>
  <c r="AA91" i="18"/>
  <c r="Y91" i="18"/>
  <c r="AO91" i="18"/>
  <c r="BE91" i="18"/>
  <c r="V91" i="18"/>
  <c r="AL91" i="18"/>
  <c r="BB91" i="18"/>
  <c r="BR91" i="18"/>
  <c r="AB91" i="18"/>
  <c r="BH91" i="18"/>
  <c r="W91" i="18"/>
  <c r="BC91" i="18"/>
  <c r="X91" i="18"/>
  <c r="BD91" i="18"/>
  <c r="AI91" i="18"/>
  <c r="S91" i="18"/>
  <c r="BG91" i="18"/>
  <c r="AC91" i="18"/>
  <c r="AS91" i="18"/>
  <c r="Z91" i="18"/>
  <c r="AP91" i="18"/>
  <c r="BF91" i="18"/>
  <c r="AJ91" i="18"/>
  <c r="AE91" i="18"/>
  <c r="AF91" i="18"/>
  <c r="BO91" i="18"/>
  <c r="N92" i="18"/>
  <c r="O92" i="18" s="1"/>
  <c r="P92" i="18" s="1"/>
  <c r="Q92" i="18" s="1"/>
  <c r="BI91" i="18"/>
  <c r="BV91" i="18"/>
  <c r="BP91" i="18"/>
  <c r="BK91" i="18"/>
  <c r="BL91" i="18"/>
  <c r="AY91" i="18"/>
  <c r="AG91" i="18"/>
  <c r="AW91" i="18"/>
  <c r="BM91" i="18"/>
  <c r="AD91" i="18"/>
  <c r="AT91" i="18"/>
  <c r="BJ91" i="18"/>
  <c r="BZ91" i="18"/>
  <c r="AR91" i="18"/>
  <c r="BU91" i="18"/>
  <c r="AM91" i="18"/>
  <c r="BQ91" i="18"/>
  <c r="AN91" i="18"/>
  <c r="BS91" i="18"/>
  <c r="AQ91" i="18"/>
  <c r="BY91" i="18"/>
  <c r="U91" i="18"/>
  <c r="AK91" i="18"/>
  <c r="BA91" i="18"/>
  <c r="R91" i="18"/>
  <c r="AX91" i="18"/>
  <c r="BN91" i="18"/>
  <c r="T91" i="18"/>
  <c r="CA91" i="18"/>
  <c r="BW91" i="18"/>
  <c r="BX91" i="18"/>
  <c r="BT91" i="18"/>
  <c r="X92" i="18" l="1"/>
  <c r="BD92" i="18"/>
  <c r="AG92" i="18"/>
  <c r="BW92" i="18"/>
  <c r="BC92" i="18"/>
  <c r="AI92" i="18"/>
  <c r="BZ92" i="18"/>
  <c r="AB92" i="18"/>
  <c r="AR92" i="18"/>
  <c r="BH92" i="18"/>
  <c r="BX92" i="18"/>
  <c r="AL92" i="18"/>
  <c r="BG92" i="18"/>
  <c r="R92" i="18"/>
  <c r="AM92" i="18"/>
  <c r="BI92" i="18"/>
  <c r="S92" i="18"/>
  <c r="AO92" i="18"/>
  <c r="BJ92" i="18"/>
  <c r="Z92" i="18"/>
  <c r="BA92" i="18"/>
  <c r="CA92" i="18"/>
  <c r="N93" i="18"/>
  <c r="O93" i="18" s="1"/>
  <c r="P93" i="18" s="1"/>
  <c r="Q93" i="18" s="1"/>
  <c r="AF92" i="18"/>
  <c r="AV92" i="18"/>
  <c r="BL92" i="18"/>
  <c r="AQ92" i="18"/>
  <c r="BM92" i="18"/>
  <c r="AS92" i="18"/>
  <c r="BN92" i="18"/>
  <c r="AT92" i="18"/>
  <c r="AU92" i="18"/>
  <c r="U92" i="18"/>
  <c r="BK92" i="18"/>
  <c r="V92" i="18"/>
  <c r="W92" i="18"/>
  <c r="Y92" i="18"/>
  <c r="BO92" i="18"/>
  <c r="BV92" i="18"/>
  <c r="BF92" i="18"/>
  <c r="T92" i="18"/>
  <c r="AJ92" i="18"/>
  <c r="AZ92" i="18"/>
  <c r="BP92" i="18"/>
  <c r="AA92" i="18"/>
  <c r="AW92" i="18"/>
  <c r="BR92" i="18"/>
  <c r="AC92" i="18"/>
  <c r="AX92" i="18"/>
  <c r="BS92" i="18"/>
  <c r="AD92" i="18"/>
  <c r="AY92" i="18"/>
  <c r="BU92" i="18"/>
  <c r="BQ92" i="18"/>
  <c r="AK92" i="18"/>
  <c r="AP92" i="18"/>
  <c r="AN92" i="18"/>
  <c r="BT92" i="18"/>
  <c r="BB92" i="18"/>
  <c r="AH92" i="18"/>
  <c r="BY92" i="18"/>
  <c r="BE92" i="18"/>
  <c r="AE92" i="18"/>
  <c r="V93" i="18" l="1"/>
  <c r="AL93" i="18"/>
  <c r="BB93" i="18"/>
  <c r="BR93" i="18"/>
  <c r="X93" i="18"/>
  <c r="AS93" i="18"/>
  <c r="BO93" i="18"/>
  <c r="Y93" i="18"/>
  <c r="AU93" i="18"/>
  <c r="BP93" i="18"/>
  <c r="AA93" i="18"/>
  <c r="AV93" i="18"/>
  <c r="BQ93" i="18"/>
  <c r="Z93" i="18"/>
  <c r="AP93" i="18"/>
  <c r="BF93" i="18"/>
  <c r="BV93" i="18"/>
  <c r="AC93" i="18"/>
  <c r="AY93" i="18"/>
  <c r="BT93" i="18"/>
  <c r="AE93" i="18"/>
  <c r="AZ93" i="18"/>
  <c r="BU93" i="18"/>
  <c r="AF93" i="18"/>
  <c r="BA93" i="18"/>
  <c r="BW93" i="18"/>
  <c r="AG93" i="18"/>
  <c r="BH93" i="18"/>
  <c r="N94" i="18"/>
  <c r="O94" i="18" s="1"/>
  <c r="P94" i="18" s="1"/>
  <c r="Q94" i="18" s="1"/>
  <c r="W93" i="18"/>
  <c r="AD93" i="18"/>
  <c r="AT93" i="18"/>
  <c r="BJ93" i="18"/>
  <c r="BZ93" i="18"/>
  <c r="AI93" i="18"/>
  <c r="BD93" i="18"/>
  <c r="BY93" i="18"/>
  <c r="AJ93" i="18"/>
  <c r="BE93" i="18"/>
  <c r="CA93" i="18"/>
  <c r="AK93" i="18"/>
  <c r="BG93" i="18"/>
  <c r="AB93" i="18"/>
  <c r="BC93" i="18"/>
  <c r="AR93" i="18"/>
  <c r="BS93" i="18"/>
  <c r="R93" i="18"/>
  <c r="AH93" i="18"/>
  <c r="AX93" i="18"/>
  <c r="BN93" i="18"/>
  <c r="S93" i="18"/>
  <c r="AN93" i="18"/>
  <c r="BI93" i="18"/>
  <c r="T93" i="18"/>
  <c r="AO93" i="18"/>
  <c r="BK93" i="18"/>
  <c r="U93" i="18"/>
  <c r="AQ93" i="18"/>
  <c r="BL93" i="18"/>
  <c r="AW93" i="18"/>
  <c r="BX93" i="18"/>
  <c r="BM93" i="18"/>
  <c r="AM93" i="18"/>
  <c r="U94" i="18" l="1"/>
  <c r="BU94" i="18"/>
  <c r="AX94" i="18"/>
  <c r="R94" i="18"/>
  <c r="BC94" i="18"/>
  <c r="BP94" i="18"/>
  <c r="AB94" i="18"/>
  <c r="Z94" i="18"/>
  <c r="AS94" i="18"/>
  <c r="BI94" i="18"/>
  <c r="BY94" i="18"/>
  <c r="AL94" i="18"/>
  <c r="BB94" i="18"/>
  <c r="BR94" i="18"/>
  <c r="W94" i="18"/>
  <c r="AQ94" i="18"/>
  <c r="BG94" i="18"/>
  <c r="BW94" i="18"/>
  <c r="BL94" i="18"/>
  <c r="S94" i="18"/>
  <c r="BH94" i="18"/>
  <c r="N95" i="18"/>
  <c r="O95" i="18" s="1"/>
  <c r="P95" i="18" s="1"/>
  <c r="Q95" i="18" s="1"/>
  <c r="AE94" i="18"/>
  <c r="AW94" i="18"/>
  <c r="BM94" i="18"/>
  <c r="AP94" i="18"/>
  <c r="BF94" i="18"/>
  <c r="AC94" i="18"/>
  <c r="BK94" i="18"/>
  <c r="AN94" i="18"/>
  <c r="AV94" i="18"/>
  <c r="AF94" i="18"/>
  <c r="V94" i="18"/>
  <c r="BV94" i="18"/>
  <c r="AU94" i="18"/>
  <c r="CA94" i="18"/>
  <c r="AI94" i="18"/>
  <c r="BX94" i="18"/>
  <c r="BT94" i="18"/>
  <c r="T94" i="18"/>
  <c r="AJ94" i="18"/>
  <c r="AK94" i="18"/>
  <c r="BA94" i="18"/>
  <c r="BQ94" i="18"/>
  <c r="AA94" i="18"/>
  <c r="AT94" i="18"/>
  <c r="BJ94" i="18"/>
  <c r="BZ94" i="18"/>
  <c r="AH94" i="18"/>
  <c r="AY94" i="18"/>
  <c r="BO94" i="18"/>
  <c r="AD94" i="18"/>
  <c r="AZ94" i="18"/>
  <c r="BD94" i="18"/>
  <c r="Y94" i="18"/>
  <c r="X94" i="18"/>
  <c r="AO94" i="18"/>
  <c r="BE94" i="18"/>
  <c r="AG94" i="18"/>
  <c r="BN94" i="18"/>
  <c r="AM94" i="18"/>
  <c r="BS94" i="18"/>
  <c r="AR94" i="18"/>
  <c r="BS95" i="18" l="1"/>
  <c r="AN95" i="18"/>
  <c r="AC95" i="18"/>
  <c r="BV95" i="18"/>
  <c r="AA95" i="18"/>
  <c r="AQ95" i="18"/>
  <c r="BG95" i="18"/>
  <c r="BW95" i="18"/>
  <c r="AB95" i="18"/>
  <c r="AR95" i="18"/>
  <c r="BH95" i="18"/>
  <c r="BX95" i="18"/>
  <c r="AG95" i="18"/>
  <c r="AW95" i="18"/>
  <c r="BM95" i="18"/>
  <c r="R95" i="18"/>
  <c r="V95" i="18"/>
  <c r="Z95" i="18"/>
  <c r="BJ95" i="18"/>
  <c r="N96" i="18"/>
  <c r="O96" i="18" s="1"/>
  <c r="P96" i="18" s="1"/>
  <c r="Q96" i="18" s="1"/>
  <c r="AU95" i="18"/>
  <c r="BK95" i="18"/>
  <c r="AF95" i="18"/>
  <c r="BL95" i="18"/>
  <c r="U95" i="18"/>
  <c r="BA95" i="18"/>
  <c r="AH95" i="18"/>
  <c r="AP95" i="18"/>
  <c r="AS95" i="18"/>
  <c r="BN95" i="18"/>
  <c r="AE95" i="18"/>
  <c r="CA95" i="18"/>
  <c r="AV95" i="18"/>
  <c r="AK95" i="18"/>
  <c r="BQ95" i="18"/>
  <c r="AL95" i="18"/>
  <c r="BZ95" i="18"/>
  <c r="BI95" i="18"/>
  <c r="BR95" i="18"/>
  <c r="S95" i="18"/>
  <c r="AI95" i="18"/>
  <c r="AY95" i="18"/>
  <c r="BO95" i="18"/>
  <c r="T95" i="18"/>
  <c r="AJ95" i="18"/>
  <c r="AZ95" i="18"/>
  <c r="BP95" i="18"/>
  <c r="Y95" i="18"/>
  <c r="AO95" i="18"/>
  <c r="BE95" i="18"/>
  <c r="BU95" i="18"/>
  <c r="AX95" i="18"/>
  <c r="BB95" i="18"/>
  <c r="BF95" i="18"/>
  <c r="AD95" i="18"/>
  <c r="W95" i="18"/>
  <c r="AM95" i="18"/>
  <c r="BC95" i="18"/>
  <c r="X95" i="18"/>
  <c r="BD95" i="18"/>
  <c r="BT95" i="18"/>
  <c r="BY95" i="18"/>
  <c r="AT95" i="18"/>
  <c r="Y96" i="18" l="1"/>
  <c r="AO96" i="18"/>
  <c r="BE96" i="18"/>
  <c r="BU96" i="18"/>
  <c r="Z96" i="18"/>
  <c r="AP96" i="18"/>
  <c r="BF96" i="18"/>
  <c r="BV96" i="18"/>
  <c r="AA96" i="18"/>
  <c r="AQ96" i="18"/>
  <c r="BG96" i="18"/>
  <c r="BW96" i="18"/>
  <c r="AZ96" i="18"/>
  <c r="BH96" i="18"/>
  <c r="AC96" i="18"/>
  <c r="AS96" i="18"/>
  <c r="BI96" i="18"/>
  <c r="BY96" i="18"/>
  <c r="AD96" i="18"/>
  <c r="AT96" i="18"/>
  <c r="BJ96" i="18"/>
  <c r="BZ96" i="18"/>
  <c r="AE96" i="18"/>
  <c r="AU96" i="18"/>
  <c r="BK96" i="18"/>
  <c r="CA96" i="18"/>
  <c r="BP96" i="18"/>
  <c r="BT96" i="18"/>
  <c r="N97" i="18"/>
  <c r="O97" i="18" s="1"/>
  <c r="P97" i="18" s="1"/>
  <c r="Q97" i="18" s="1"/>
  <c r="AG96" i="18"/>
  <c r="AW96" i="18"/>
  <c r="BM96" i="18"/>
  <c r="R96" i="18"/>
  <c r="AH96" i="18"/>
  <c r="AX96" i="18"/>
  <c r="BN96" i="18"/>
  <c r="S96" i="18"/>
  <c r="AI96" i="18"/>
  <c r="AY96" i="18"/>
  <c r="BO96" i="18"/>
  <c r="T96" i="18"/>
  <c r="X96" i="18"/>
  <c r="AB96" i="18"/>
  <c r="BL96" i="18"/>
  <c r="BX96" i="18"/>
  <c r="U96" i="18"/>
  <c r="AK96" i="18"/>
  <c r="BA96" i="18"/>
  <c r="BQ96" i="18"/>
  <c r="V96" i="18"/>
  <c r="AL96" i="18"/>
  <c r="BB96" i="18"/>
  <c r="BR96" i="18"/>
  <c r="W96" i="18"/>
  <c r="AM96" i="18"/>
  <c r="BC96" i="18"/>
  <c r="BS96" i="18"/>
  <c r="AJ96" i="18"/>
  <c r="AN96" i="18"/>
  <c r="AR96" i="18"/>
  <c r="AF96" i="18"/>
  <c r="BD96" i="18"/>
  <c r="AV96" i="18"/>
  <c r="W97" i="18" l="1"/>
  <c r="BS97" i="18"/>
  <c r="BD97" i="18"/>
  <c r="AC97" i="18"/>
  <c r="BY97" i="18"/>
  <c r="BV97" i="18"/>
  <c r="AX97" i="18"/>
  <c r="AA97" i="18"/>
  <c r="AQ97" i="18"/>
  <c r="BG97" i="18"/>
  <c r="BW97" i="18"/>
  <c r="AB97" i="18"/>
  <c r="AR97" i="18"/>
  <c r="BH97" i="18"/>
  <c r="BX97" i="18"/>
  <c r="AG97" i="18"/>
  <c r="AW97" i="18"/>
  <c r="BM97" i="18"/>
  <c r="V97" i="18"/>
  <c r="Z97" i="18"/>
  <c r="AD97" i="18"/>
  <c r="BN97" i="18"/>
  <c r="N98" i="18"/>
  <c r="O98" i="18" s="1"/>
  <c r="P98" i="18" s="1"/>
  <c r="Q98" i="18" s="1"/>
  <c r="AE97" i="18"/>
  <c r="BK97" i="18"/>
  <c r="CA97" i="18"/>
  <c r="AV97" i="18"/>
  <c r="AK97" i="18"/>
  <c r="BQ97" i="18"/>
  <c r="AP97" i="18"/>
  <c r="AU97" i="18"/>
  <c r="AF97" i="18"/>
  <c r="BL97" i="18"/>
  <c r="U97" i="18"/>
  <c r="BA97" i="18"/>
  <c r="AL97" i="18"/>
  <c r="AT97" i="18"/>
  <c r="R97" i="18"/>
  <c r="S97" i="18"/>
  <c r="AI97" i="18"/>
  <c r="AY97" i="18"/>
  <c r="BO97" i="18"/>
  <c r="T97" i="18"/>
  <c r="AJ97" i="18"/>
  <c r="AZ97" i="18"/>
  <c r="BP97" i="18"/>
  <c r="Y97" i="18"/>
  <c r="AO97" i="18"/>
  <c r="BE97" i="18"/>
  <c r="BU97" i="18"/>
  <c r="BB97" i="18"/>
  <c r="BF97" i="18"/>
  <c r="BJ97" i="18"/>
  <c r="AH97" i="18"/>
  <c r="AM97" i="18"/>
  <c r="BC97" i="18"/>
  <c r="X97" i="18"/>
  <c r="AN97" i="18"/>
  <c r="BT97" i="18"/>
  <c r="AS97" i="18"/>
  <c r="BI97" i="18"/>
  <c r="BR97" i="18"/>
  <c r="BZ97" i="18"/>
  <c r="AC98" i="18" l="1"/>
  <c r="AS98" i="18"/>
  <c r="BI98" i="18"/>
  <c r="BY98" i="18"/>
  <c r="AD98" i="18"/>
  <c r="AT98" i="18"/>
  <c r="BJ98" i="18"/>
  <c r="BZ98" i="18"/>
  <c r="AE98" i="18"/>
  <c r="AU98" i="18"/>
  <c r="BK98" i="18"/>
  <c r="CA98" i="18"/>
  <c r="BT98" i="18"/>
  <c r="BX98" i="18"/>
  <c r="BP98" i="18"/>
  <c r="N99" i="18"/>
  <c r="O99" i="18" s="1"/>
  <c r="P99" i="18" s="1"/>
  <c r="Q99" i="18" s="1"/>
  <c r="AG98" i="18"/>
  <c r="AW98" i="18"/>
  <c r="BM98" i="18"/>
  <c r="R98" i="18"/>
  <c r="AH98" i="18"/>
  <c r="AX98" i="18"/>
  <c r="BN98" i="18"/>
  <c r="AI98" i="18"/>
  <c r="AY98" i="18"/>
  <c r="BO98" i="18"/>
  <c r="X98" i="18"/>
  <c r="AF98" i="18"/>
  <c r="T98" i="18"/>
  <c r="BW98" i="18"/>
  <c r="BL98" i="18"/>
  <c r="S98" i="18"/>
  <c r="AB98" i="18"/>
  <c r="AQ98" i="18"/>
  <c r="BD98" i="18"/>
  <c r="AZ98" i="18"/>
  <c r="U98" i="18"/>
  <c r="AK98" i="18"/>
  <c r="BA98" i="18"/>
  <c r="BQ98" i="18"/>
  <c r="V98" i="18"/>
  <c r="AL98" i="18"/>
  <c r="BB98" i="18"/>
  <c r="BR98" i="18"/>
  <c r="W98" i="18"/>
  <c r="AM98" i="18"/>
  <c r="BC98" i="18"/>
  <c r="BS98" i="18"/>
  <c r="AN98" i="18"/>
  <c r="AR98" i="18"/>
  <c r="AV98" i="18"/>
  <c r="AJ98" i="18"/>
  <c r="Y98" i="18"/>
  <c r="AO98" i="18"/>
  <c r="BE98" i="18"/>
  <c r="BU98" i="18"/>
  <c r="Z98" i="18"/>
  <c r="AP98" i="18"/>
  <c r="BF98" i="18"/>
  <c r="BV98" i="18"/>
  <c r="AA98" i="18"/>
  <c r="BG98" i="18"/>
  <c r="BH98" i="18"/>
  <c r="S99" i="18" l="1"/>
  <c r="AI99" i="18"/>
  <c r="AY99" i="18"/>
  <c r="BO99" i="18"/>
  <c r="T99" i="18"/>
  <c r="AJ99" i="18"/>
  <c r="AZ99" i="18"/>
  <c r="BP99" i="18"/>
  <c r="Y99" i="18"/>
  <c r="AO99" i="18"/>
  <c r="BE99" i="18"/>
  <c r="BU99" i="18"/>
  <c r="BF99" i="18"/>
  <c r="BJ99" i="18"/>
  <c r="AX99" i="18"/>
  <c r="AL99" i="18"/>
  <c r="BI99" i="18"/>
  <c r="BV99" i="18"/>
  <c r="BN99" i="18"/>
  <c r="BK99" i="18"/>
  <c r="AV99" i="18"/>
  <c r="BQ99" i="18"/>
  <c r="AH99" i="18"/>
  <c r="W99" i="18"/>
  <c r="AM99" i="18"/>
  <c r="BC99" i="18"/>
  <c r="BS99" i="18"/>
  <c r="X99" i="18"/>
  <c r="AN99" i="18"/>
  <c r="BD99" i="18"/>
  <c r="BT99" i="18"/>
  <c r="AC99" i="18"/>
  <c r="AS99" i="18"/>
  <c r="BY99" i="18"/>
  <c r="BZ99" i="18"/>
  <c r="BB99" i="18"/>
  <c r="AU99" i="18"/>
  <c r="AF99" i="18"/>
  <c r="U99" i="18"/>
  <c r="AT99" i="18"/>
  <c r="AA99" i="18"/>
  <c r="AQ99" i="18"/>
  <c r="BG99" i="18"/>
  <c r="BW99" i="18"/>
  <c r="AB99" i="18"/>
  <c r="AR99" i="18"/>
  <c r="BH99" i="18"/>
  <c r="BX99" i="18"/>
  <c r="AG99" i="18"/>
  <c r="AW99" i="18"/>
  <c r="BM99" i="18"/>
  <c r="Z99" i="18"/>
  <c r="AD99" i="18"/>
  <c r="R99" i="18"/>
  <c r="BR99" i="18"/>
  <c r="N100" i="18"/>
  <c r="O100" i="18" s="1"/>
  <c r="P100" i="18" s="1"/>
  <c r="Q100" i="18" s="1"/>
  <c r="AE99" i="18"/>
  <c r="CA99" i="18"/>
  <c r="BL99" i="18"/>
  <c r="AK99" i="18"/>
  <c r="AP99" i="18"/>
  <c r="V99" i="18"/>
  <c r="BA99" i="18"/>
  <c r="Y100" i="18" l="1"/>
  <c r="Z100" i="18"/>
  <c r="AP100" i="18"/>
  <c r="BF100" i="18"/>
  <c r="BV100" i="18"/>
  <c r="AQ100" i="18"/>
  <c r="BW100" i="18"/>
  <c r="BY100" i="18"/>
  <c r="AG100" i="18"/>
  <c r="AC100" i="18"/>
  <c r="AD100" i="18"/>
  <c r="AT100" i="18"/>
  <c r="BJ100" i="18"/>
  <c r="BZ100" i="18"/>
  <c r="AE100" i="18"/>
  <c r="AU100" i="18"/>
  <c r="BK100" i="18"/>
  <c r="CA100" i="18"/>
  <c r="BA100" i="18"/>
  <c r="AF100" i="18"/>
  <c r="BL100" i="18"/>
  <c r="AO100" i="18"/>
  <c r="BU100" i="18"/>
  <c r="AJ100" i="18"/>
  <c r="N101" i="18"/>
  <c r="O101" i="18" s="1"/>
  <c r="P101" i="18" s="1"/>
  <c r="Q101" i="18" s="1"/>
  <c r="BO100" i="18"/>
  <c r="BI100" i="18"/>
  <c r="BT100" i="18"/>
  <c r="AZ100" i="18"/>
  <c r="BH100" i="18"/>
  <c r="R100" i="18"/>
  <c r="AH100" i="18"/>
  <c r="AX100" i="18"/>
  <c r="BN100" i="18"/>
  <c r="S100" i="18"/>
  <c r="AI100" i="18"/>
  <c r="AY100" i="18"/>
  <c r="AB100" i="18"/>
  <c r="AN100" i="18"/>
  <c r="AW100" i="18"/>
  <c r="BP100" i="18"/>
  <c r="BX100" i="18"/>
  <c r="U100" i="18"/>
  <c r="V100" i="18"/>
  <c r="AL100" i="18"/>
  <c r="BB100" i="18"/>
  <c r="BR100" i="18"/>
  <c r="W100" i="18"/>
  <c r="AM100" i="18"/>
  <c r="BC100" i="18"/>
  <c r="BS100" i="18"/>
  <c r="AK100" i="18"/>
  <c r="BQ100" i="18"/>
  <c r="AV100" i="18"/>
  <c r="T100" i="18"/>
  <c r="BE100" i="18"/>
  <c r="X100" i="18"/>
  <c r="AR100" i="18"/>
  <c r="AA100" i="18"/>
  <c r="BG100" i="18"/>
  <c r="AS100" i="18"/>
  <c r="BD100" i="18"/>
  <c r="BM100" i="18"/>
  <c r="X101" i="18" l="1"/>
  <c r="BD101" i="18"/>
  <c r="AC101" i="18"/>
  <c r="BI101" i="18"/>
  <c r="AU101" i="18"/>
  <c r="BV101" i="18"/>
  <c r="BW101" i="18"/>
  <c r="BZ101" i="18"/>
  <c r="AB101" i="18"/>
  <c r="AR101" i="18"/>
  <c r="BH101" i="18"/>
  <c r="BX101" i="18"/>
  <c r="AG101" i="18"/>
  <c r="AW101" i="18"/>
  <c r="BM101" i="18"/>
  <c r="W101" i="18"/>
  <c r="BC101" i="18"/>
  <c r="R101" i="18"/>
  <c r="AX101" i="18"/>
  <c r="S101" i="18"/>
  <c r="AY101" i="18"/>
  <c r="V101" i="18"/>
  <c r="AL101" i="18"/>
  <c r="N102" i="18"/>
  <c r="O102" i="18" s="1"/>
  <c r="P102" i="18" s="1"/>
  <c r="Q102" i="18" s="1"/>
  <c r="AF101" i="18"/>
  <c r="BL101" i="18"/>
  <c r="BA101" i="18"/>
  <c r="AE101" i="18"/>
  <c r="Z101" i="18"/>
  <c r="AA101" i="18"/>
  <c r="BB101" i="18"/>
  <c r="AV101" i="18"/>
  <c r="U101" i="18"/>
  <c r="AK101" i="18"/>
  <c r="BQ101" i="18"/>
  <c r="BK101" i="18"/>
  <c r="BF101" i="18"/>
  <c r="BG101" i="18"/>
  <c r="BR101" i="18"/>
  <c r="T101" i="18"/>
  <c r="AJ101" i="18"/>
  <c r="AZ101" i="18"/>
  <c r="BP101" i="18"/>
  <c r="Y101" i="18"/>
  <c r="AO101" i="18"/>
  <c r="BE101" i="18"/>
  <c r="BU101" i="18"/>
  <c r="AM101" i="18"/>
  <c r="BS101" i="18"/>
  <c r="AH101" i="18"/>
  <c r="BN101" i="18"/>
  <c r="AI101" i="18"/>
  <c r="BO101" i="18"/>
  <c r="AD101" i="18"/>
  <c r="AT101" i="18"/>
  <c r="AN101" i="18"/>
  <c r="BT101" i="18"/>
  <c r="AS101" i="18"/>
  <c r="BY101" i="18"/>
  <c r="CA101" i="18"/>
  <c r="AP101" i="18"/>
  <c r="AQ101" i="18"/>
  <c r="BJ101" i="18"/>
  <c r="V102" i="18" l="1"/>
  <c r="AY102" i="18"/>
  <c r="Y102" i="18"/>
  <c r="BT102" i="18"/>
  <c r="BZ102" i="18"/>
  <c r="BL102" i="18"/>
  <c r="BX102" i="18"/>
  <c r="Z102" i="18"/>
  <c r="W102" i="18"/>
  <c r="AM102" i="18"/>
  <c r="BC102" i="18"/>
  <c r="BS102" i="18"/>
  <c r="AG102" i="18"/>
  <c r="BD102" i="18"/>
  <c r="BY102" i="18"/>
  <c r="AO102" i="18"/>
  <c r="BJ102" i="18"/>
  <c r="U102" i="18"/>
  <c r="AV102" i="18"/>
  <c r="BQ102" i="18"/>
  <c r="BR102" i="18"/>
  <c r="AL102" i="18"/>
  <c r="N103" i="18"/>
  <c r="O103" i="18" s="1"/>
  <c r="P103" i="18" s="1"/>
  <c r="Q103" i="18" s="1"/>
  <c r="AD102" i="18"/>
  <c r="AQ102" i="18"/>
  <c r="BG102" i="18"/>
  <c r="BI102" i="18"/>
  <c r="AT102" i="18"/>
  <c r="AC102" i="18"/>
  <c r="BV102" i="18"/>
  <c r="BH102" i="18"/>
  <c r="AA102" i="18"/>
  <c r="BW102" i="18"/>
  <c r="AN102" i="18"/>
  <c r="T102" i="18"/>
  <c r="BP102" i="18"/>
  <c r="BA102" i="18"/>
  <c r="AF102" i="18"/>
  <c r="BM102" i="18"/>
  <c r="R102" i="18"/>
  <c r="AH102" i="18"/>
  <c r="AE102" i="18"/>
  <c r="AU102" i="18"/>
  <c r="BK102" i="18"/>
  <c r="CA102" i="18"/>
  <c r="AS102" i="18"/>
  <c r="BN102" i="18"/>
  <c r="AB102" i="18"/>
  <c r="AZ102" i="18"/>
  <c r="BU102" i="18"/>
  <c r="AK102" i="18"/>
  <c r="BF102" i="18"/>
  <c r="X102" i="18"/>
  <c r="BB102" i="18"/>
  <c r="AR102" i="18"/>
  <c r="S102" i="18"/>
  <c r="AI102" i="18"/>
  <c r="BO102" i="18"/>
  <c r="AX102" i="18"/>
  <c r="AJ102" i="18"/>
  <c r="BE102" i="18"/>
  <c r="AP102" i="18"/>
  <c r="AW102" i="18"/>
  <c r="U103" i="18" l="1"/>
  <c r="BA103" i="18"/>
  <c r="Z103" i="18"/>
  <c r="BP103" i="18"/>
  <c r="AV103" i="18"/>
  <c r="AX103" i="18"/>
  <c r="BT103" i="18"/>
  <c r="Y103" i="18"/>
  <c r="AO103" i="18"/>
  <c r="BE103" i="18"/>
  <c r="BU103" i="18"/>
  <c r="AE103" i="18"/>
  <c r="AZ103" i="18"/>
  <c r="BV103" i="18"/>
  <c r="AF103" i="18"/>
  <c r="BB103" i="18"/>
  <c r="BW103" i="18"/>
  <c r="AH103" i="18"/>
  <c r="BC103" i="18"/>
  <c r="BX103" i="18"/>
  <c r="AI103" i="18"/>
  <c r="AN103" i="18"/>
  <c r="BO103" i="18"/>
  <c r="AC103" i="18"/>
  <c r="AS103" i="18"/>
  <c r="BY103" i="18"/>
  <c r="AJ103" i="18"/>
  <c r="CA103" i="18"/>
  <c r="BG103" i="18"/>
  <c r="AM103" i="18"/>
  <c r="AD103" i="18"/>
  <c r="BJ103" i="18"/>
  <c r="S103" i="18"/>
  <c r="BI103" i="18"/>
  <c r="BF103" i="18"/>
  <c r="AL103" i="18"/>
  <c r="R103" i="18"/>
  <c r="BH103" i="18"/>
  <c r="BD103" i="18"/>
  <c r="N104" i="18"/>
  <c r="O104" i="18" s="1"/>
  <c r="P104" i="18" s="1"/>
  <c r="AG103" i="18"/>
  <c r="AW103" i="18"/>
  <c r="BM103" i="18"/>
  <c r="T103" i="18"/>
  <c r="AP103" i="18"/>
  <c r="BK103" i="18"/>
  <c r="V103" i="18"/>
  <c r="AQ103" i="18"/>
  <c r="BL103" i="18"/>
  <c r="W103" i="18"/>
  <c r="AR103" i="18"/>
  <c r="BN103" i="18"/>
  <c r="AY103" i="18"/>
  <c r="BZ103" i="18"/>
  <c r="X103" i="18"/>
  <c r="Q104" i="18"/>
  <c r="AK103" i="18"/>
  <c r="BQ103" i="18"/>
  <c r="AU103" i="18"/>
  <c r="AA103" i="18"/>
  <c r="BR103" i="18"/>
  <c r="AB103" i="18"/>
  <c r="BS103" i="18"/>
  <c r="AT103" i="18"/>
  <c r="W104" i="18" l="1"/>
  <c r="AM104" i="18"/>
  <c r="BC104" i="18"/>
  <c r="BS104" i="18"/>
  <c r="AB104" i="18"/>
  <c r="AW104" i="18"/>
  <c r="AC104" i="18"/>
  <c r="BT104" i="18"/>
  <c r="BU104" i="18"/>
  <c r="AA104" i="18"/>
  <c r="AQ104" i="18"/>
  <c r="BG104" i="18"/>
  <c r="BW104" i="18"/>
  <c r="AG104" i="18"/>
  <c r="BB104" i="18"/>
  <c r="BX104" i="18"/>
  <c r="AH104" i="18"/>
  <c r="BD104" i="18"/>
  <c r="BY104" i="18"/>
  <c r="AJ104" i="18"/>
  <c r="BE104" i="18"/>
  <c r="BZ104" i="18"/>
  <c r="AK104" i="18"/>
  <c r="BL104" i="18"/>
  <c r="N105" i="18"/>
  <c r="O105" i="18" s="1"/>
  <c r="P105" i="18" s="1"/>
  <c r="Q105" i="18" s="1"/>
  <c r="BJ104" i="18"/>
  <c r="AV104" i="18"/>
  <c r="AZ104" i="18"/>
  <c r="AE104" i="18"/>
  <c r="AU104" i="18"/>
  <c r="BK104" i="18"/>
  <c r="CA104" i="18"/>
  <c r="AL104" i="18"/>
  <c r="BH104" i="18"/>
  <c r="R104" i="18"/>
  <c r="AN104" i="18"/>
  <c r="BI104" i="18"/>
  <c r="T104" i="18"/>
  <c r="AO104" i="18"/>
  <c r="AF104" i="18"/>
  <c r="BF104" i="18"/>
  <c r="BV104" i="18"/>
  <c r="Z104" i="18"/>
  <c r="S104" i="18"/>
  <c r="AI104" i="18"/>
  <c r="AY104" i="18"/>
  <c r="BO104" i="18"/>
  <c r="V104" i="18"/>
  <c r="AR104" i="18"/>
  <c r="BM104" i="18"/>
  <c r="X104" i="18"/>
  <c r="AS104" i="18"/>
  <c r="BN104" i="18"/>
  <c r="Y104" i="18"/>
  <c r="AT104" i="18"/>
  <c r="BP104" i="18"/>
  <c r="BA104" i="18"/>
  <c r="U104" i="18"/>
  <c r="BQ104" i="18"/>
  <c r="BR104" i="18"/>
  <c r="AX104" i="18"/>
  <c r="AD104" i="18"/>
  <c r="AP104" i="18"/>
  <c r="Y105" i="18" l="1"/>
  <c r="AO105" i="18"/>
  <c r="BE105" i="18"/>
  <c r="BU105" i="18"/>
  <c r="AD105" i="18"/>
  <c r="AY105" i="18"/>
  <c r="BT105" i="18"/>
  <c r="AE105" i="18"/>
  <c r="AZ105" i="18"/>
  <c r="BV105" i="18"/>
  <c r="AF105" i="18"/>
  <c r="BB105" i="18"/>
  <c r="AR105" i="18"/>
  <c r="AH105" i="18"/>
  <c r="AC105" i="18"/>
  <c r="AS105" i="18"/>
  <c r="BI105" i="18"/>
  <c r="BY105" i="18"/>
  <c r="AI105" i="18"/>
  <c r="BD105" i="18"/>
  <c r="BZ105" i="18"/>
  <c r="AJ105" i="18"/>
  <c r="BF105" i="18"/>
  <c r="CA105" i="18"/>
  <c r="AL105" i="18"/>
  <c r="BN105" i="18"/>
  <c r="AG105" i="18"/>
  <c r="AW105" i="18"/>
  <c r="BM105" i="18"/>
  <c r="S105" i="18"/>
  <c r="AN105" i="18"/>
  <c r="BJ105" i="18"/>
  <c r="T105" i="18"/>
  <c r="AP105" i="18"/>
  <c r="BK105" i="18"/>
  <c r="V105" i="18"/>
  <c r="AQ105" i="18"/>
  <c r="BL105" i="18"/>
  <c r="BC105" i="18"/>
  <c r="BH105" i="18"/>
  <c r="BS105" i="18"/>
  <c r="AB105" i="18"/>
  <c r="R105" i="18"/>
  <c r="AX105" i="18"/>
  <c r="AM105" i="18"/>
  <c r="U105" i="18"/>
  <c r="AK105" i="18"/>
  <c r="BA105" i="18"/>
  <c r="BQ105" i="18"/>
  <c r="X105" i="18"/>
  <c r="AT105" i="18"/>
  <c r="BO105" i="18"/>
  <c r="Z105" i="18"/>
  <c r="AU105" i="18"/>
  <c r="BP105" i="18"/>
  <c r="AA105" i="18"/>
  <c r="AV105" i="18"/>
  <c r="BR105" i="18"/>
  <c r="BX105" i="18"/>
  <c r="W105" i="18"/>
  <c r="BW105" i="18"/>
  <c r="BG105" i="18"/>
  <c r="N106" i="18"/>
  <c r="O106" i="18" s="1"/>
  <c r="P106" i="18" s="1"/>
  <c r="Q106" i="18" s="1"/>
  <c r="W106" i="18" l="1"/>
  <c r="AM106" i="18"/>
  <c r="AK106" i="18"/>
  <c r="BB106" i="18"/>
  <c r="BR106" i="18"/>
  <c r="AB106" i="18"/>
  <c r="AU106" i="18"/>
  <c r="BK106" i="18"/>
  <c r="CA106" i="18"/>
  <c r="AZ106" i="18"/>
  <c r="BE106" i="18"/>
  <c r="AA106" i="18"/>
  <c r="U106" i="18"/>
  <c r="AP106" i="18"/>
  <c r="BF106" i="18"/>
  <c r="BV106" i="18"/>
  <c r="AG106" i="18"/>
  <c r="AY106" i="18"/>
  <c r="BO106" i="18"/>
  <c r="R106" i="18"/>
  <c r="AN106" i="18"/>
  <c r="BD106" i="18"/>
  <c r="BT106" i="18"/>
  <c r="BQ106" i="18"/>
  <c r="BU106" i="18"/>
  <c r="BY106" i="18"/>
  <c r="N107" i="18"/>
  <c r="O107" i="18" s="1"/>
  <c r="P107" i="18" s="1"/>
  <c r="Q107" i="18" s="1"/>
  <c r="Y106" i="18"/>
  <c r="BA106" i="18"/>
  <c r="BM106" i="18"/>
  <c r="AE106" i="18"/>
  <c r="Z106" i="18"/>
  <c r="AT106" i="18"/>
  <c r="BJ106" i="18"/>
  <c r="BZ106" i="18"/>
  <c r="AL106" i="18"/>
  <c r="BC106" i="18"/>
  <c r="BS106" i="18"/>
  <c r="X106" i="18"/>
  <c r="AR106" i="18"/>
  <c r="BH106" i="18"/>
  <c r="BX106" i="18"/>
  <c r="T106" i="18"/>
  <c r="AD106" i="18"/>
  <c r="BI106" i="18"/>
  <c r="S106" i="18"/>
  <c r="AI106" i="18"/>
  <c r="AF106" i="18"/>
  <c r="AX106" i="18"/>
  <c r="BN106" i="18"/>
  <c r="V106" i="18"/>
  <c r="AQ106" i="18"/>
  <c r="BG106" i="18"/>
  <c r="BW106" i="18"/>
  <c r="AC106" i="18"/>
  <c r="AV106" i="18"/>
  <c r="BL106" i="18"/>
  <c r="AJ106" i="18"/>
  <c r="AO106" i="18"/>
  <c r="AS106" i="18"/>
  <c r="AW106" i="18"/>
  <c r="AH106" i="18"/>
  <c r="BP106" i="18"/>
  <c r="X107" i="18" l="1"/>
  <c r="AN107" i="18"/>
  <c r="BD107" i="18"/>
  <c r="BT107" i="18"/>
  <c r="AC107" i="18"/>
  <c r="AS107" i="18"/>
  <c r="BI107" i="18"/>
  <c r="BY107" i="18"/>
  <c r="AD107" i="18"/>
  <c r="AT107" i="18"/>
  <c r="BJ107" i="18"/>
  <c r="BZ107" i="18"/>
  <c r="BS107" i="18"/>
  <c r="BW107" i="18"/>
  <c r="CA107" i="18"/>
  <c r="BO107" i="18"/>
  <c r="AB107" i="18"/>
  <c r="AR107" i="18"/>
  <c r="BH107" i="18"/>
  <c r="BX107" i="18"/>
  <c r="AG107" i="18"/>
  <c r="AW107" i="18"/>
  <c r="BM107" i="18"/>
  <c r="R107" i="18"/>
  <c r="AH107" i="18"/>
  <c r="AX107" i="18"/>
  <c r="BN107" i="18"/>
  <c r="W107" i="18"/>
  <c r="AA107" i="18"/>
  <c r="AE107" i="18"/>
  <c r="S107" i="18"/>
  <c r="N108" i="18"/>
  <c r="O108" i="18" s="1"/>
  <c r="P108" i="18" s="1"/>
  <c r="Q108" i="18" s="1"/>
  <c r="AF107" i="18"/>
  <c r="AV107" i="18"/>
  <c r="BL107" i="18"/>
  <c r="U107" i="18"/>
  <c r="AK107" i="18"/>
  <c r="BA107" i="18"/>
  <c r="BQ107" i="18"/>
  <c r="V107" i="18"/>
  <c r="AL107" i="18"/>
  <c r="BB107" i="18"/>
  <c r="BR107" i="18"/>
  <c r="AM107" i="18"/>
  <c r="AQ107" i="18"/>
  <c r="AU107" i="18"/>
  <c r="AI107" i="18"/>
  <c r="T107" i="18"/>
  <c r="AJ107" i="18"/>
  <c r="AZ107" i="18"/>
  <c r="BP107" i="18"/>
  <c r="Y107" i="18"/>
  <c r="AO107" i="18"/>
  <c r="BE107" i="18"/>
  <c r="BU107" i="18"/>
  <c r="Z107" i="18"/>
  <c r="AP107" i="18"/>
  <c r="BF107" i="18"/>
  <c r="BV107" i="18"/>
  <c r="BC107" i="18"/>
  <c r="BG107" i="18"/>
  <c r="BK107" i="18"/>
  <c r="AY107" i="18"/>
  <c r="V108" i="18" l="1"/>
  <c r="AL108" i="18"/>
  <c r="BB108" i="18"/>
  <c r="BR108" i="18"/>
  <c r="W108" i="18"/>
  <c r="AM108" i="18"/>
  <c r="BC108" i="18"/>
  <c r="BS108" i="18"/>
  <c r="X108" i="18"/>
  <c r="BD108" i="18"/>
  <c r="BE108" i="18"/>
  <c r="BM108" i="18"/>
  <c r="Z108" i="18"/>
  <c r="AP108" i="18"/>
  <c r="BF108" i="18"/>
  <c r="BV108" i="18"/>
  <c r="AA108" i="18"/>
  <c r="AQ108" i="18"/>
  <c r="BG108" i="18"/>
  <c r="BW108" i="18"/>
  <c r="AB108" i="18"/>
  <c r="AR108" i="18"/>
  <c r="BH108" i="18"/>
  <c r="BX108" i="18"/>
  <c r="BU108" i="18"/>
  <c r="BY108" i="18"/>
  <c r="U108" i="18"/>
  <c r="N109" i="18"/>
  <c r="O109" i="18" s="1"/>
  <c r="P109" i="18" s="1"/>
  <c r="Q109" i="18" s="1"/>
  <c r="AD108" i="18"/>
  <c r="AT108" i="18"/>
  <c r="BJ108" i="18"/>
  <c r="BZ108" i="18"/>
  <c r="AE108" i="18"/>
  <c r="AU108" i="18"/>
  <c r="BK108" i="18"/>
  <c r="CA108" i="18"/>
  <c r="AF108" i="18"/>
  <c r="AV108" i="18"/>
  <c r="BL108" i="18"/>
  <c r="Y108" i="18"/>
  <c r="AC108" i="18"/>
  <c r="AG108" i="18"/>
  <c r="AK108" i="18"/>
  <c r="R108" i="18"/>
  <c r="AH108" i="18"/>
  <c r="AX108" i="18"/>
  <c r="BN108" i="18"/>
  <c r="S108" i="18"/>
  <c r="AI108" i="18"/>
  <c r="AY108" i="18"/>
  <c r="BO108" i="18"/>
  <c r="T108" i="18"/>
  <c r="AJ108" i="18"/>
  <c r="AZ108" i="18"/>
  <c r="BP108" i="18"/>
  <c r="AO108" i="18"/>
  <c r="AS108" i="18"/>
  <c r="AW108" i="18"/>
  <c r="BA108" i="18"/>
  <c r="AN108" i="18"/>
  <c r="BT108" i="18"/>
  <c r="BI108" i="18"/>
  <c r="BQ108" i="18"/>
  <c r="X109" i="18" l="1"/>
  <c r="AN109" i="18"/>
  <c r="BD109" i="18"/>
  <c r="BT109" i="18"/>
  <c r="AC109" i="18"/>
  <c r="AS109" i="18"/>
  <c r="BI109" i="18"/>
  <c r="BY109" i="18"/>
  <c r="AD109" i="18"/>
  <c r="AT109" i="18"/>
  <c r="BJ109" i="18"/>
  <c r="BZ109" i="18"/>
  <c r="BO109" i="18"/>
  <c r="AB109" i="18"/>
  <c r="AR109" i="18"/>
  <c r="BH109" i="18"/>
  <c r="BX109" i="18"/>
  <c r="AG109" i="18"/>
  <c r="AW109" i="18"/>
  <c r="BM109" i="18"/>
  <c r="R109" i="18"/>
  <c r="AH109" i="18"/>
  <c r="AX109" i="18"/>
  <c r="BN109" i="18"/>
  <c r="AA109" i="18"/>
  <c r="AE109" i="18"/>
  <c r="S109" i="18"/>
  <c r="W109" i="18"/>
  <c r="N110" i="18"/>
  <c r="O110" i="18" s="1"/>
  <c r="P110" i="18" s="1"/>
  <c r="Q110" i="18" s="1"/>
  <c r="AF109" i="18"/>
  <c r="AV109" i="18"/>
  <c r="BL109" i="18"/>
  <c r="U109" i="18"/>
  <c r="AK109" i="18"/>
  <c r="BA109" i="18"/>
  <c r="BQ109" i="18"/>
  <c r="V109" i="18"/>
  <c r="AL109" i="18"/>
  <c r="BB109" i="18"/>
  <c r="BR109" i="18"/>
  <c r="AQ109" i="18"/>
  <c r="AU109" i="18"/>
  <c r="AI109" i="18"/>
  <c r="AM109" i="18"/>
  <c r="BC109" i="18"/>
  <c r="BW109" i="18"/>
  <c r="BS109" i="18"/>
  <c r="T109" i="18"/>
  <c r="AJ109" i="18"/>
  <c r="AZ109" i="18"/>
  <c r="BP109" i="18"/>
  <c r="Y109" i="18"/>
  <c r="AO109" i="18"/>
  <c r="BE109" i="18"/>
  <c r="BU109" i="18"/>
  <c r="Z109" i="18"/>
  <c r="AP109" i="18"/>
  <c r="BF109" i="18"/>
  <c r="BV109" i="18"/>
  <c r="BG109" i="18"/>
  <c r="BK109" i="18"/>
  <c r="AY109" i="18"/>
  <c r="CA109" i="18"/>
  <c r="AL110" i="18" l="1"/>
  <c r="AM110" i="18"/>
  <c r="X110" i="18"/>
  <c r="BD110" i="18"/>
  <c r="BI110" i="18"/>
  <c r="BU110" i="18"/>
  <c r="Z110" i="18"/>
  <c r="AP110" i="18"/>
  <c r="BF110" i="18"/>
  <c r="BV110" i="18"/>
  <c r="AA110" i="18"/>
  <c r="AQ110" i="18"/>
  <c r="BG110" i="18"/>
  <c r="BW110" i="18"/>
  <c r="AB110" i="18"/>
  <c r="AR110" i="18"/>
  <c r="BH110" i="18"/>
  <c r="BX110" i="18"/>
  <c r="BY110" i="18"/>
  <c r="U110" i="18"/>
  <c r="Y110" i="18"/>
  <c r="N111" i="18"/>
  <c r="O111" i="18" s="1"/>
  <c r="P111" i="18" s="1"/>
  <c r="Q111" i="18" s="1"/>
  <c r="AD110" i="18"/>
  <c r="BJ110" i="18"/>
  <c r="BZ110" i="18"/>
  <c r="BK110" i="18"/>
  <c r="AF110" i="18"/>
  <c r="AC110" i="18"/>
  <c r="AK110" i="18"/>
  <c r="AT110" i="18"/>
  <c r="AE110" i="18"/>
  <c r="AU110" i="18"/>
  <c r="CA110" i="18"/>
  <c r="AV110" i="18"/>
  <c r="BL110" i="18"/>
  <c r="AG110" i="18"/>
  <c r="R110" i="18"/>
  <c r="AH110" i="18"/>
  <c r="AX110" i="18"/>
  <c r="BN110" i="18"/>
  <c r="S110" i="18"/>
  <c r="AI110" i="18"/>
  <c r="AY110" i="18"/>
  <c r="BO110" i="18"/>
  <c r="T110" i="18"/>
  <c r="AJ110" i="18"/>
  <c r="AZ110" i="18"/>
  <c r="BP110" i="18"/>
  <c r="AS110" i="18"/>
  <c r="AW110" i="18"/>
  <c r="BA110" i="18"/>
  <c r="BE110" i="18"/>
  <c r="V110" i="18"/>
  <c r="BB110" i="18"/>
  <c r="BR110" i="18"/>
  <c r="W110" i="18"/>
  <c r="BC110" i="18"/>
  <c r="BS110" i="18"/>
  <c r="AN110" i="18"/>
  <c r="BT110" i="18"/>
  <c r="BM110" i="18"/>
  <c r="BQ110" i="18"/>
  <c r="AO110" i="18"/>
  <c r="BT111" i="18" l="1"/>
  <c r="BY111" i="18"/>
  <c r="AT111" i="18"/>
  <c r="BZ111" i="18"/>
  <c r="BS111" i="18"/>
  <c r="AB111" i="18"/>
  <c r="AR111" i="18"/>
  <c r="BH111" i="18"/>
  <c r="BX111" i="18"/>
  <c r="AG111" i="18"/>
  <c r="AW111" i="18"/>
  <c r="BM111" i="18"/>
  <c r="R111" i="18"/>
  <c r="AH111" i="18"/>
  <c r="AX111" i="18"/>
  <c r="BN111" i="18"/>
  <c r="AE111" i="18"/>
  <c r="S111" i="18"/>
  <c r="W111" i="18"/>
  <c r="AA111" i="18"/>
  <c r="N112" i="18"/>
  <c r="O112" i="18" s="1"/>
  <c r="P112" i="18" s="1"/>
  <c r="Q112" i="18" s="1"/>
  <c r="AF111" i="18"/>
  <c r="AV111" i="18"/>
  <c r="U111" i="18"/>
  <c r="AK111" i="18"/>
  <c r="BA111" i="18"/>
  <c r="BQ111" i="18"/>
  <c r="AL111" i="18"/>
  <c r="AU111" i="18"/>
  <c r="AM111" i="18"/>
  <c r="BL111" i="18"/>
  <c r="V111" i="18"/>
  <c r="BB111" i="18"/>
  <c r="BR111" i="18"/>
  <c r="AI111" i="18"/>
  <c r="AQ111" i="18"/>
  <c r="T111" i="18"/>
  <c r="AJ111" i="18"/>
  <c r="AZ111" i="18"/>
  <c r="BP111" i="18"/>
  <c r="Y111" i="18"/>
  <c r="AO111" i="18"/>
  <c r="BE111" i="18"/>
  <c r="BU111" i="18"/>
  <c r="Z111" i="18"/>
  <c r="AP111" i="18"/>
  <c r="BF111" i="18"/>
  <c r="BV111" i="18"/>
  <c r="BK111" i="18"/>
  <c r="AY111" i="18"/>
  <c r="BC111" i="18"/>
  <c r="BG111" i="18"/>
  <c r="X111" i="18"/>
  <c r="AN111" i="18"/>
  <c r="BD111" i="18"/>
  <c r="AC111" i="18"/>
  <c r="AS111" i="18"/>
  <c r="BI111" i="18"/>
  <c r="AD111" i="18"/>
  <c r="BJ111" i="18"/>
  <c r="CA111" i="18"/>
  <c r="BO111" i="18"/>
  <c r="BW111" i="18"/>
  <c r="V112" i="18" l="1"/>
  <c r="AL112" i="18"/>
  <c r="BB112" i="18"/>
  <c r="BR112" i="18"/>
  <c r="W112" i="18"/>
  <c r="AM112" i="18"/>
  <c r="BC112" i="18"/>
  <c r="BS112" i="18"/>
  <c r="X112" i="18"/>
  <c r="AN112" i="18"/>
  <c r="BD112" i="18"/>
  <c r="BT112" i="18"/>
  <c r="BM112" i="18"/>
  <c r="BQ112" i="18"/>
  <c r="BU112" i="18"/>
  <c r="Z112" i="18"/>
  <c r="AP112" i="18"/>
  <c r="BF112" i="18"/>
  <c r="BV112" i="18"/>
  <c r="AA112" i="18"/>
  <c r="AQ112" i="18"/>
  <c r="BG112" i="18"/>
  <c r="BW112" i="18"/>
  <c r="AB112" i="18"/>
  <c r="AR112" i="18"/>
  <c r="BH112" i="18"/>
  <c r="BX112" i="18"/>
  <c r="U112" i="18"/>
  <c r="Y112" i="18"/>
  <c r="AC112" i="18"/>
  <c r="N113" i="18"/>
  <c r="O113" i="18" s="1"/>
  <c r="P113" i="18" s="1"/>
  <c r="Q113" i="18" s="1"/>
  <c r="BY112" i="18"/>
  <c r="AD112" i="18"/>
  <c r="AT112" i="18"/>
  <c r="BJ112" i="18"/>
  <c r="BZ112" i="18"/>
  <c r="AE112" i="18"/>
  <c r="AU112" i="18"/>
  <c r="BK112" i="18"/>
  <c r="CA112" i="18"/>
  <c r="AF112" i="18"/>
  <c r="AV112" i="18"/>
  <c r="BL112" i="18"/>
  <c r="AG112" i="18"/>
  <c r="AK112" i="18"/>
  <c r="AO112" i="18"/>
  <c r="AS112" i="18"/>
  <c r="AZ112" i="18"/>
  <c r="AW112" i="18"/>
  <c r="BA112" i="18"/>
  <c r="BI112" i="18"/>
  <c r="R112" i="18"/>
  <c r="AH112" i="18"/>
  <c r="AX112" i="18"/>
  <c r="BN112" i="18"/>
  <c r="S112" i="18"/>
  <c r="AI112" i="18"/>
  <c r="AY112" i="18"/>
  <c r="BO112" i="18"/>
  <c r="T112" i="18"/>
  <c r="AJ112" i="18"/>
  <c r="BP112" i="18"/>
  <c r="BE112" i="18"/>
  <c r="X113" i="18" l="1"/>
  <c r="AN113" i="18"/>
  <c r="BT113" i="18"/>
  <c r="AC113" i="18"/>
  <c r="R113" i="18"/>
  <c r="AX113" i="18"/>
  <c r="S113" i="18"/>
  <c r="BS113" i="18"/>
  <c r="BY113" i="18"/>
  <c r="AB113" i="18"/>
  <c r="AR113" i="18"/>
  <c r="BH113" i="18"/>
  <c r="BX113" i="18"/>
  <c r="AG113" i="18"/>
  <c r="AW113" i="18"/>
  <c r="BM113" i="18"/>
  <c r="V113" i="18"/>
  <c r="AL113" i="18"/>
  <c r="BB113" i="18"/>
  <c r="BR113" i="18"/>
  <c r="AI113" i="18"/>
  <c r="W113" i="18"/>
  <c r="AA113" i="18"/>
  <c r="AF113" i="18"/>
  <c r="AV113" i="18"/>
  <c r="BL113" i="18"/>
  <c r="U113" i="18"/>
  <c r="AK113" i="18"/>
  <c r="BA113" i="18"/>
  <c r="BQ113" i="18"/>
  <c r="Z113" i="18"/>
  <c r="AP113" i="18"/>
  <c r="BF113" i="18"/>
  <c r="BV113" i="18"/>
  <c r="AY113" i="18"/>
  <c r="AM113" i="18"/>
  <c r="AQ113" i="18"/>
  <c r="AU113" i="18"/>
  <c r="N114" i="18"/>
  <c r="O114" i="18" s="1"/>
  <c r="P114" i="18" s="1"/>
  <c r="Q114" i="18" s="1"/>
  <c r="T113" i="18"/>
  <c r="AJ113" i="18"/>
  <c r="AZ113" i="18"/>
  <c r="BP113" i="18"/>
  <c r="Y113" i="18"/>
  <c r="AO113" i="18"/>
  <c r="BE113" i="18"/>
  <c r="BU113" i="18"/>
  <c r="AD113" i="18"/>
  <c r="AT113" i="18"/>
  <c r="BJ113" i="18"/>
  <c r="BZ113" i="18"/>
  <c r="BO113" i="18"/>
  <c r="BC113" i="18"/>
  <c r="BG113" i="18"/>
  <c r="BK113" i="18"/>
  <c r="BD113" i="18"/>
  <c r="AS113" i="18"/>
  <c r="BI113" i="18"/>
  <c r="AH113" i="18"/>
  <c r="BN113" i="18"/>
  <c r="CA113" i="18"/>
  <c r="BW113" i="18"/>
  <c r="AE113" i="18"/>
  <c r="V114" i="18" l="1"/>
  <c r="AL114" i="18"/>
  <c r="BB114" i="18"/>
  <c r="BR114" i="18"/>
  <c r="X114" i="18"/>
  <c r="AN114" i="18"/>
  <c r="BD114" i="18"/>
  <c r="BT114" i="18"/>
  <c r="AO114" i="18"/>
  <c r="BU114" i="18"/>
  <c r="AQ114" i="18"/>
  <c r="BW114" i="18"/>
  <c r="AS114" i="18"/>
  <c r="BY114" i="18"/>
  <c r="BK114" i="18"/>
  <c r="CA114" i="18"/>
  <c r="AW114" i="18"/>
  <c r="AY114" i="18"/>
  <c r="BA114" i="18"/>
  <c r="AM114" i="18"/>
  <c r="BC114" i="18"/>
  <c r="Z114" i="18"/>
  <c r="AP114" i="18"/>
  <c r="BF114" i="18"/>
  <c r="BV114" i="18"/>
  <c r="AB114" i="18"/>
  <c r="AR114" i="18"/>
  <c r="BH114" i="18"/>
  <c r="BX114" i="18"/>
  <c r="S114" i="18"/>
  <c r="U114" i="18"/>
  <c r="W114" i="18"/>
  <c r="N115" i="18"/>
  <c r="O115" i="18" s="1"/>
  <c r="P115" i="18" s="1"/>
  <c r="Q115" i="18" s="1"/>
  <c r="BS114" i="18"/>
  <c r="AD114" i="18"/>
  <c r="AT114" i="18"/>
  <c r="BJ114" i="18"/>
  <c r="BZ114" i="18"/>
  <c r="AF114" i="18"/>
  <c r="AV114" i="18"/>
  <c r="BL114" i="18"/>
  <c r="Y114" i="18"/>
  <c r="BE114" i="18"/>
  <c r="AA114" i="18"/>
  <c r="BG114" i="18"/>
  <c r="AC114" i="18"/>
  <c r="BI114" i="18"/>
  <c r="R114" i="18"/>
  <c r="AH114" i="18"/>
  <c r="AX114" i="18"/>
  <c r="BN114" i="18"/>
  <c r="T114" i="18"/>
  <c r="AJ114" i="18"/>
  <c r="AZ114" i="18"/>
  <c r="BP114" i="18"/>
  <c r="AG114" i="18"/>
  <c r="BM114" i="18"/>
  <c r="AI114" i="18"/>
  <c r="BO114" i="18"/>
  <c r="AK114" i="18"/>
  <c r="BQ114" i="18"/>
  <c r="AE114" i="18"/>
  <c r="AU114" i="18"/>
  <c r="BD115" i="18" l="1"/>
  <c r="AP115" i="18"/>
  <c r="BV115" i="18"/>
  <c r="AK115" i="18"/>
  <c r="AM115" i="18"/>
  <c r="AG115" i="18"/>
  <c r="AB115" i="18"/>
  <c r="AR115" i="18"/>
  <c r="BH115" i="18"/>
  <c r="BX115" i="18"/>
  <c r="AD115" i="18"/>
  <c r="AT115" i="18"/>
  <c r="BJ115" i="18"/>
  <c r="BZ115" i="18"/>
  <c r="AQ115" i="18"/>
  <c r="BW115" i="18"/>
  <c r="AS115" i="18"/>
  <c r="BY115" i="18"/>
  <c r="AU115" i="18"/>
  <c r="CA115" i="18"/>
  <c r="BM115" i="18"/>
  <c r="N116" i="18"/>
  <c r="O116" i="18" s="1"/>
  <c r="P116" i="18" s="1"/>
  <c r="Q116" i="18" s="1"/>
  <c r="AV115" i="18"/>
  <c r="BL115" i="18"/>
  <c r="AH115" i="18"/>
  <c r="S115" i="18"/>
  <c r="U115" i="18"/>
  <c r="W115" i="18"/>
  <c r="Y115" i="18"/>
  <c r="AF115" i="18"/>
  <c r="R115" i="18"/>
  <c r="AX115" i="18"/>
  <c r="BN115" i="18"/>
  <c r="AY115" i="18"/>
  <c r="BA115" i="18"/>
  <c r="BC115" i="18"/>
  <c r="AO115" i="18"/>
  <c r="T115" i="18"/>
  <c r="AJ115" i="18"/>
  <c r="AZ115" i="18"/>
  <c r="BP115" i="18"/>
  <c r="V115" i="18"/>
  <c r="AL115" i="18"/>
  <c r="BB115" i="18"/>
  <c r="BR115" i="18"/>
  <c r="AA115" i="18"/>
  <c r="BG115" i="18"/>
  <c r="AC115" i="18"/>
  <c r="BI115" i="18"/>
  <c r="AE115" i="18"/>
  <c r="BK115" i="18"/>
  <c r="BE115" i="18"/>
  <c r="BU115" i="18"/>
  <c r="X115" i="18"/>
  <c r="AN115" i="18"/>
  <c r="BT115" i="18"/>
  <c r="Z115" i="18"/>
  <c r="BF115" i="18"/>
  <c r="AI115" i="18"/>
  <c r="BO115" i="18"/>
  <c r="BQ115" i="18"/>
  <c r="BS115" i="18"/>
  <c r="AW115" i="18"/>
  <c r="V116" i="18" l="1"/>
  <c r="BB116" i="18"/>
  <c r="AN116" i="18"/>
  <c r="BT116" i="18"/>
  <c r="BK116" i="18"/>
  <c r="AQ116" i="18"/>
  <c r="Z116" i="18"/>
  <c r="AP116" i="18"/>
  <c r="BF116" i="18"/>
  <c r="AB116" i="18"/>
  <c r="AR116" i="18"/>
  <c r="BH116" i="18"/>
  <c r="BX116" i="18"/>
  <c r="AS116" i="18"/>
  <c r="BU116" i="18"/>
  <c r="AM116" i="18"/>
  <c r="BQ116" i="18"/>
  <c r="AG116" i="18"/>
  <c r="BM116" i="18"/>
  <c r="BG116" i="18"/>
  <c r="BS116" i="18"/>
  <c r="N117" i="18"/>
  <c r="O117" i="18" s="1"/>
  <c r="P117" i="18" s="1"/>
  <c r="Q117" i="18" s="1"/>
  <c r="AD116" i="18"/>
  <c r="AT116" i="18"/>
  <c r="BJ116" i="18"/>
  <c r="AV116" i="18"/>
  <c r="BL116" i="18"/>
  <c r="U116" i="18"/>
  <c r="BZ116" i="18"/>
  <c r="AU116" i="18"/>
  <c r="AO116" i="18"/>
  <c r="AI116" i="18"/>
  <c r="BO116" i="18"/>
  <c r="AA116" i="18"/>
  <c r="AF116" i="18"/>
  <c r="BA116" i="18"/>
  <c r="BV116" i="18"/>
  <c r="BR116" i="18"/>
  <c r="S116" i="18"/>
  <c r="AE116" i="18"/>
  <c r="BE116" i="18"/>
  <c r="BY116" i="18"/>
  <c r="R116" i="18"/>
  <c r="AH116" i="18"/>
  <c r="AX116" i="18"/>
  <c r="T116" i="18"/>
  <c r="AJ116" i="18"/>
  <c r="AZ116" i="18"/>
  <c r="BP116" i="18"/>
  <c r="AC116" i="18"/>
  <c r="BI116" i="18"/>
  <c r="W116" i="18"/>
  <c r="BC116" i="18"/>
  <c r="CA116" i="18"/>
  <c r="AW116" i="18"/>
  <c r="BW116" i="18"/>
  <c r="BN116" i="18"/>
  <c r="AY116" i="18"/>
  <c r="AL116" i="18"/>
  <c r="X116" i="18"/>
  <c r="BD116" i="18"/>
  <c r="AK116" i="18"/>
  <c r="Y116" i="18"/>
  <c r="Z117" i="18" l="1"/>
  <c r="AP117" i="18"/>
  <c r="BF117" i="18"/>
  <c r="BV117" i="18"/>
  <c r="AF117" i="18"/>
  <c r="BA117" i="18"/>
  <c r="BW117" i="18"/>
  <c r="AM117" i="18"/>
  <c r="BH117" i="18"/>
  <c r="S117" i="18"/>
  <c r="AN117" i="18"/>
  <c r="BI117" i="18"/>
  <c r="T117" i="18"/>
  <c r="AU117" i="18"/>
  <c r="BU117" i="18"/>
  <c r="N118" i="18"/>
  <c r="O118" i="18" s="1"/>
  <c r="P118" i="18" s="1"/>
  <c r="Q118" i="18" s="1"/>
  <c r="AT117" i="18"/>
  <c r="BJ117" i="18"/>
  <c r="BZ117" i="18"/>
  <c r="BG117" i="18"/>
  <c r="W117" i="18"/>
  <c r="BM117" i="18"/>
  <c r="AS117" i="18"/>
  <c r="BO117" i="18"/>
  <c r="BP117" i="18"/>
  <c r="BR117" i="18"/>
  <c r="BQ117" i="18"/>
  <c r="BX117" i="18"/>
  <c r="BD117" i="18"/>
  <c r="AZ117" i="18"/>
  <c r="AD117" i="18"/>
  <c r="AK117" i="18"/>
  <c r="AR117" i="18"/>
  <c r="X117" i="18"/>
  <c r="AO117" i="18"/>
  <c r="AJ117" i="18"/>
  <c r="V117" i="18"/>
  <c r="AA117" i="18"/>
  <c r="AG117" i="18"/>
  <c r="AI117" i="18"/>
  <c r="Y117" i="18"/>
  <c r="R117" i="18"/>
  <c r="AH117" i="18"/>
  <c r="AX117" i="18"/>
  <c r="BN117" i="18"/>
  <c r="U117" i="18"/>
  <c r="AQ117" i="18"/>
  <c r="BL117" i="18"/>
  <c r="AB117" i="18"/>
  <c r="AW117" i="18"/>
  <c r="BS117" i="18"/>
  <c r="AC117" i="18"/>
  <c r="AY117" i="18"/>
  <c r="BT117" i="18"/>
  <c r="BK117" i="18"/>
  <c r="AE117" i="18"/>
  <c r="BE117" i="18"/>
  <c r="AL117" i="18"/>
  <c r="BB117" i="18"/>
  <c r="AV117" i="18"/>
  <c r="BC117" i="18"/>
  <c r="BY117" i="18"/>
  <c r="CA117" i="18"/>
  <c r="X118" i="18" l="1"/>
  <c r="AN118" i="18"/>
  <c r="BD118" i="18"/>
  <c r="BT118" i="18"/>
  <c r="AC118" i="18"/>
  <c r="AX118" i="18"/>
  <c r="BS118" i="18"/>
  <c r="AD118" i="18"/>
  <c r="AY118" i="18"/>
  <c r="BU118" i="18"/>
  <c r="AE118" i="18"/>
  <c r="BA118" i="18"/>
  <c r="BV118" i="18"/>
  <c r="BM118" i="18"/>
  <c r="AG118" i="18"/>
  <c r="AK118" i="18"/>
  <c r="BB118" i="18"/>
  <c r="AB118" i="18"/>
  <c r="AR118" i="18"/>
  <c r="BH118" i="18"/>
  <c r="BX118" i="18"/>
  <c r="AH118" i="18"/>
  <c r="BC118" i="18"/>
  <c r="BY118" i="18"/>
  <c r="AI118" i="18"/>
  <c r="BE118" i="18"/>
  <c r="BZ118" i="18"/>
  <c r="CA118" i="18"/>
  <c r="AF118" i="18"/>
  <c r="AV118" i="18"/>
  <c r="BL118" i="18"/>
  <c r="R118" i="18"/>
  <c r="AM118" i="18"/>
  <c r="BI118" i="18"/>
  <c r="S118" i="18"/>
  <c r="AO118" i="18"/>
  <c r="BJ118" i="18"/>
  <c r="U118" i="18"/>
  <c r="AP118" i="18"/>
  <c r="BK118" i="18"/>
  <c r="V118" i="18"/>
  <c r="AW118" i="18"/>
  <c r="BW118" i="18"/>
  <c r="T118" i="18"/>
  <c r="AJ118" i="18"/>
  <c r="AZ118" i="18"/>
  <c r="BP118" i="18"/>
  <c r="W118" i="18"/>
  <c r="AS118" i="18"/>
  <c r="BN118" i="18"/>
  <c r="Y118" i="18"/>
  <c r="AT118" i="18"/>
  <c r="BO118" i="18"/>
  <c r="Z118" i="18"/>
  <c r="AU118" i="18"/>
  <c r="BQ118" i="18"/>
  <c r="AQ118" i="18"/>
  <c r="BR118" i="18"/>
  <c r="AL118" i="18"/>
  <c r="BG118" i="18"/>
  <c r="BF118" i="18"/>
  <c r="AA118" i="18"/>
  <c r="N119" i="18"/>
  <c r="O119" i="18" s="1"/>
  <c r="P119" i="18" s="1"/>
  <c r="Q119" i="18" s="1"/>
  <c r="R119" i="18" l="1"/>
  <c r="AH119" i="18"/>
  <c r="AX119" i="18"/>
  <c r="BN119" i="18"/>
  <c r="T119" i="18"/>
  <c r="AO119" i="18"/>
  <c r="BK119" i="18"/>
  <c r="U119" i="18"/>
  <c r="AQ119" i="18"/>
  <c r="BL119" i="18"/>
  <c r="AB119" i="18"/>
  <c r="AW119" i="18"/>
  <c r="AI119" i="18"/>
  <c r="V119" i="18"/>
  <c r="AL119" i="18"/>
  <c r="BB119" i="18"/>
  <c r="BR119" i="18"/>
  <c r="Y119" i="18"/>
  <c r="AU119" i="18"/>
  <c r="BP119" i="18"/>
  <c r="AA119" i="18"/>
  <c r="AV119" i="18"/>
  <c r="BQ119" i="18"/>
  <c r="AG119" i="18"/>
  <c r="BC119" i="18"/>
  <c r="BX119" i="18"/>
  <c r="AC119" i="18"/>
  <c r="BD119" i="18"/>
  <c r="BI119" i="18"/>
  <c r="BS119" i="18"/>
  <c r="Z119" i="18"/>
  <c r="AP119" i="18"/>
  <c r="BF119" i="18"/>
  <c r="BV119" i="18"/>
  <c r="AE119" i="18"/>
  <c r="AZ119" i="18"/>
  <c r="BU119" i="18"/>
  <c r="AF119" i="18"/>
  <c r="BA119" i="18"/>
  <c r="BW119" i="18"/>
  <c r="AM119" i="18"/>
  <c r="BH119" i="18"/>
  <c r="X119" i="18"/>
  <c r="AY119" i="18"/>
  <c r="BY119" i="18"/>
  <c r="N120" i="18"/>
  <c r="O120" i="18" s="1"/>
  <c r="P120" i="18" s="1"/>
  <c r="Q120" i="18" s="1"/>
  <c r="AN119" i="18"/>
  <c r="AD119" i="18"/>
  <c r="AT119" i="18"/>
  <c r="BJ119" i="18"/>
  <c r="BZ119" i="18"/>
  <c r="AJ119" i="18"/>
  <c r="BE119" i="18"/>
  <c r="CA119" i="18"/>
  <c r="AK119" i="18"/>
  <c r="BG119" i="18"/>
  <c r="W119" i="18"/>
  <c r="AR119" i="18"/>
  <c r="BM119" i="18"/>
  <c r="AS119" i="18"/>
  <c r="BT119" i="18"/>
  <c r="S119" i="18"/>
  <c r="BO119" i="18"/>
  <c r="X120" i="18" l="1"/>
  <c r="AN120" i="18"/>
  <c r="BD120" i="18"/>
  <c r="BT120" i="18"/>
  <c r="AG120" i="18"/>
  <c r="BB120" i="18"/>
  <c r="BW120" i="18"/>
  <c r="AH120" i="18"/>
  <c r="BC120" i="18"/>
  <c r="BY120" i="18"/>
  <c r="AI120" i="18"/>
  <c r="BE120" i="18"/>
  <c r="BZ120" i="18"/>
  <c r="BK120" i="18"/>
  <c r="AB120" i="18"/>
  <c r="AR120" i="18"/>
  <c r="BH120" i="18"/>
  <c r="BX120" i="18"/>
  <c r="AL120" i="18"/>
  <c r="BG120" i="18"/>
  <c r="R120" i="18"/>
  <c r="AM120" i="18"/>
  <c r="BI120" i="18"/>
  <c r="S120" i="18"/>
  <c r="AO120" i="18"/>
  <c r="BJ120" i="18"/>
  <c r="Z120" i="18"/>
  <c r="BA120" i="18"/>
  <c r="AF120" i="18"/>
  <c r="AV120" i="18"/>
  <c r="BL120" i="18"/>
  <c r="V120" i="18"/>
  <c r="AQ120" i="18"/>
  <c r="BM120" i="18"/>
  <c r="W120" i="18"/>
  <c r="AS120" i="18"/>
  <c r="BN120" i="18"/>
  <c r="Y120" i="18"/>
  <c r="AT120" i="18"/>
  <c r="BO120" i="18"/>
  <c r="AU120" i="18"/>
  <c r="BV120" i="18"/>
  <c r="U120" i="18"/>
  <c r="BF120" i="18"/>
  <c r="N121" i="18"/>
  <c r="O121" i="18" s="1"/>
  <c r="P121" i="18" s="1"/>
  <c r="Q121" i="18" s="1"/>
  <c r="T120" i="18"/>
  <c r="AJ120" i="18"/>
  <c r="AZ120" i="18"/>
  <c r="BP120" i="18"/>
  <c r="AA120" i="18"/>
  <c r="AW120" i="18"/>
  <c r="BR120" i="18"/>
  <c r="AC120" i="18"/>
  <c r="AX120" i="18"/>
  <c r="BS120" i="18"/>
  <c r="AD120" i="18"/>
  <c r="AY120" i="18"/>
  <c r="BU120" i="18"/>
  <c r="BQ120" i="18"/>
  <c r="AK120" i="18"/>
  <c r="AP120" i="18"/>
  <c r="AE120" i="18"/>
  <c r="CA120" i="18"/>
  <c r="V121" i="18" l="1"/>
  <c r="AL121" i="18"/>
  <c r="S121" i="18"/>
  <c r="AN121" i="18"/>
  <c r="BG121" i="18"/>
  <c r="BW121" i="18"/>
  <c r="AE121" i="18"/>
  <c r="AZ121" i="18"/>
  <c r="BP121" i="18"/>
  <c r="AA121" i="18"/>
  <c r="AV121" i="18"/>
  <c r="BM121" i="18"/>
  <c r="BV121" i="18"/>
  <c r="Z121" i="18"/>
  <c r="AP121" i="18"/>
  <c r="X121" i="18"/>
  <c r="AS121" i="18"/>
  <c r="BK121" i="18"/>
  <c r="CA121" i="18"/>
  <c r="AJ121" i="18"/>
  <c r="BD121" i="18"/>
  <c r="BT121" i="18"/>
  <c r="AF121" i="18"/>
  <c r="BA121" i="18"/>
  <c r="BQ121" i="18"/>
  <c r="AW121" i="18"/>
  <c r="BR121" i="18"/>
  <c r="W121" i="18"/>
  <c r="AD121" i="18"/>
  <c r="AT121" i="18"/>
  <c r="AC121" i="18"/>
  <c r="AY121" i="18"/>
  <c r="BO121" i="18"/>
  <c r="T121" i="18"/>
  <c r="AO121" i="18"/>
  <c r="BH121" i="18"/>
  <c r="BX121" i="18"/>
  <c r="AK121" i="18"/>
  <c r="BE121" i="18"/>
  <c r="BU121" i="18"/>
  <c r="BN121" i="18"/>
  <c r="AM121" i="18"/>
  <c r="AR121" i="18"/>
  <c r="AB121" i="18"/>
  <c r="BZ121" i="18"/>
  <c r="R121" i="18"/>
  <c r="AH121" i="18"/>
  <c r="AX121" i="18"/>
  <c r="AI121" i="18"/>
  <c r="BC121" i="18"/>
  <c r="BS121" i="18"/>
  <c r="Y121" i="18"/>
  <c r="AU121" i="18"/>
  <c r="BL121" i="18"/>
  <c r="U121" i="18"/>
  <c r="AQ121" i="18"/>
  <c r="BI121" i="18"/>
  <c r="BY121" i="18"/>
  <c r="AG121" i="18"/>
  <c r="BF121" i="18"/>
  <c r="BJ121" i="18"/>
  <c r="BB121" i="18"/>
  <c r="N122" i="18"/>
  <c r="O122" i="18" s="1"/>
  <c r="P122" i="18" s="1"/>
  <c r="Q122" i="18" s="1"/>
  <c r="Y122" i="18" l="1"/>
  <c r="AO122" i="18"/>
  <c r="BE122" i="18"/>
  <c r="BU122" i="18"/>
  <c r="Z122" i="18"/>
  <c r="AP122" i="18"/>
  <c r="BF122" i="18"/>
  <c r="BV122" i="18"/>
  <c r="AA122" i="18"/>
  <c r="AQ122" i="18"/>
  <c r="BG122" i="18"/>
  <c r="BW122" i="18"/>
  <c r="AZ122" i="18"/>
  <c r="BL122" i="18"/>
  <c r="AC122" i="18"/>
  <c r="AS122" i="18"/>
  <c r="BI122" i="18"/>
  <c r="BY122" i="18"/>
  <c r="AD122" i="18"/>
  <c r="AT122" i="18"/>
  <c r="BJ122" i="18"/>
  <c r="BZ122" i="18"/>
  <c r="AE122" i="18"/>
  <c r="AU122" i="18"/>
  <c r="BK122" i="18"/>
  <c r="CA122" i="18"/>
  <c r="BP122" i="18"/>
  <c r="BT122" i="18"/>
  <c r="N123" i="18"/>
  <c r="O123" i="18" s="1"/>
  <c r="P123" i="18" s="1"/>
  <c r="Q123" i="18" s="1"/>
  <c r="AG122" i="18"/>
  <c r="AW122" i="18"/>
  <c r="BM122" i="18"/>
  <c r="R122" i="18"/>
  <c r="AH122" i="18"/>
  <c r="AX122" i="18"/>
  <c r="BN122" i="18"/>
  <c r="S122" i="18"/>
  <c r="AI122" i="18"/>
  <c r="AY122" i="18"/>
  <c r="BO122" i="18"/>
  <c r="T122" i="18"/>
  <c r="X122" i="18"/>
  <c r="AB122" i="18"/>
  <c r="AF122" i="18"/>
  <c r="AV122" i="18"/>
  <c r="BD122" i="18"/>
  <c r="BX122" i="18"/>
  <c r="U122" i="18"/>
  <c r="AK122" i="18"/>
  <c r="BA122" i="18"/>
  <c r="BQ122" i="18"/>
  <c r="V122" i="18"/>
  <c r="AL122" i="18"/>
  <c r="BB122" i="18"/>
  <c r="BR122" i="18"/>
  <c r="W122" i="18"/>
  <c r="AM122" i="18"/>
  <c r="BC122" i="18"/>
  <c r="BS122" i="18"/>
  <c r="AJ122" i="18"/>
  <c r="AN122" i="18"/>
  <c r="AR122" i="18"/>
  <c r="BH122" i="18"/>
  <c r="W123" i="18" l="1"/>
  <c r="AM123" i="18"/>
  <c r="BC123" i="18"/>
  <c r="BS123" i="18"/>
  <c r="X123" i="18"/>
  <c r="AN123" i="18"/>
  <c r="BD123" i="18"/>
  <c r="BT123" i="18"/>
  <c r="AC123" i="18"/>
  <c r="AS123" i="18"/>
  <c r="BI123" i="18"/>
  <c r="BY123" i="18"/>
  <c r="BR123" i="18"/>
  <c r="BV123" i="18"/>
  <c r="BN123" i="18"/>
  <c r="BH123" i="18"/>
  <c r="BM123" i="18"/>
  <c r="AD123" i="18"/>
  <c r="AA123" i="18"/>
  <c r="AQ123" i="18"/>
  <c r="BG123" i="18"/>
  <c r="BW123" i="18"/>
  <c r="AB123" i="18"/>
  <c r="BX123" i="18"/>
  <c r="V123" i="18"/>
  <c r="R123" i="18"/>
  <c r="AE123" i="18"/>
  <c r="AU123" i="18"/>
  <c r="BK123" i="18"/>
  <c r="CA123" i="18"/>
  <c r="AF123" i="18"/>
  <c r="AV123" i="18"/>
  <c r="BL123" i="18"/>
  <c r="U123" i="18"/>
  <c r="AK123" i="18"/>
  <c r="BA123" i="18"/>
  <c r="BQ123" i="18"/>
  <c r="AL123" i="18"/>
  <c r="AP123" i="18"/>
  <c r="AT123" i="18"/>
  <c r="S123" i="18"/>
  <c r="AI123" i="18"/>
  <c r="AY123" i="18"/>
  <c r="BO123" i="18"/>
  <c r="T123" i="18"/>
  <c r="AJ123" i="18"/>
  <c r="AZ123" i="18"/>
  <c r="BP123" i="18"/>
  <c r="Y123" i="18"/>
  <c r="AO123" i="18"/>
  <c r="BE123" i="18"/>
  <c r="BU123" i="18"/>
  <c r="BB123" i="18"/>
  <c r="BF123" i="18"/>
  <c r="BJ123" i="18"/>
  <c r="AX123" i="18"/>
  <c r="BZ123" i="18"/>
  <c r="AR123" i="18"/>
  <c r="AG123" i="18"/>
  <c r="AW123" i="18"/>
  <c r="Z123" i="18"/>
  <c r="N124" i="18"/>
  <c r="O124" i="18" s="1"/>
  <c r="P124" i="18" s="1"/>
  <c r="Q124" i="18" s="1"/>
  <c r="AH123" i="18"/>
  <c r="Y124" i="18" l="1"/>
  <c r="AO124" i="18"/>
  <c r="BE124" i="18"/>
  <c r="BU124" i="18"/>
  <c r="Z124" i="18"/>
  <c r="AP124" i="18"/>
  <c r="BF124" i="18"/>
  <c r="BV124" i="18"/>
  <c r="AA124" i="18"/>
  <c r="AQ124" i="18"/>
  <c r="BG124" i="18"/>
  <c r="BW124" i="18"/>
  <c r="BD124" i="18"/>
  <c r="BH124" i="18"/>
  <c r="BL124" i="18"/>
  <c r="BP124" i="18"/>
  <c r="BK124" i="18"/>
  <c r="T124" i="18"/>
  <c r="AC124" i="18"/>
  <c r="AS124" i="18"/>
  <c r="BI124" i="18"/>
  <c r="BY124" i="18"/>
  <c r="AD124" i="18"/>
  <c r="AT124" i="18"/>
  <c r="BJ124" i="18"/>
  <c r="BZ124" i="18"/>
  <c r="AE124" i="18"/>
  <c r="CA124" i="18"/>
  <c r="N125" i="18"/>
  <c r="O125" i="18" s="1"/>
  <c r="P125" i="18" s="1"/>
  <c r="Q125" i="18" s="1"/>
  <c r="AG124" i="18"/>
  <c r="AW124" i="18"/>
  <c r="BM124" i="18"/>
  <c r="R124" i="18"/>
  <c r="AH124" i="18"/>
  <c r="AX124" i="18"/>
  <c r="BN124" i="18"/>
  <c r="S124" i="18"/>
  <c r="AI124" i="18"/>
  <c r="AY124" i="18"/>
  <c r="BO124" i="18"/>
  <c r="X124" i="18"/>
  <c r="AB124" i="18"/>
  <c r="AF124" i="18"/>
  <c r="AJ124" i="18"/>
  <c r="U124" i="18"/>
  <c r="AK124" i="18"/>
  <c r="BA124" i="18"/>
  <c r="BQ124" i="18"/>
  <c r="V124" i="18"/>
  <c r="AL124" i="18"/>
  <c r="BB124" i="18"/>
  <c r="BR124" i="18"/>
  <c r="W124" i="18"/>
  <c r="AM124" i="18"/>
  <c r="BC124" i="18"/>
  <c r="BS124" i="18"/>
  <c r="AN124" i="18"/>
  <c r="AR124" i="18"/>
  <c r="AV124" i="18"/>
  <c r="AZ124" i="18"/>
  <c r="AU124" i="18"/>
  <c r="BT124" i="18"/>
  <c r="BX124" i="18"/>
  <c r="W125" i="18" l="1"/>
  <c r="AM125" i="18"/>
  <c r="BC125" i="18"/>
  <c r="BS125" i="18"/>
  <c r="X125" i="18"/>
  <c r="AN125" i="18"/>
  <c r="BD125" i="18"/>
  <c r="BT125" i="18"/>
  <c r="AC125" i="18"/>
  <c r="AS125" i="18"/>
  <c r="BI125" i="18"/>
  <c r="BY125" i="18"/>
  <c r="BZ125" i="18"/>
  <c r="BR125" i="18"/>
  <c r="AL125" i="18"/>
  <c r="AA125" i="18"/>
  <c r="AQ125" i="18"/>
  <c r="BG125" i="18"/>
  <c r="BW125" i="18"/>
  <c r="AB125" i="18"/>
  <c r="AR125" i="18"/>
  <c r="BH125" i="18"/>
  <c r="BX125" i="18"/>
  <c r="AG125" i="18"/>
  <c r="AW125" i="18"/>
  <c r="BM125" i="18"/>
  <c r="Z125" i="18"/>
  <c r="AD125" i="18"/>
  <c r="R125" i="18"/>
  <c r="N126" i="18"/>
  <c r="O126" i="18" s="1"/>
  <c r="P126" i="18" s="1"/>
  <c r="Q126" i="18" s="1"/>
  <c r="AE125" i="18"/>
  <c r="AU125" i="18"/>
  <c r="BK125" i="18"/>
  <c r="CA125" i="18"/>
  <c r="AF125" i="18"/>
  <c r="AV125" i="18"/>
  <c r="BL125" i="18"/>
  <c r="U125" i="18"/>
  <c r="AK125" i="18"/>
  <c r="BA125" i="18"/>
  <c r="BQ125" i="18"/>
  <c r="AP125" i="18"/>
  <c r="AT125" i="18"/>
  <c r="AH125" i="18"/>
  <c r="S125" i="18"/>
  <c r="AI125" i="18"/>
  <c r="AY125" i="18"/>
  <c r="BO125" i="18"/>
  <c r="T125" i="18"/>
  <c r="AJ125" i="18"/>
  <c r="AZ125" i="18"/>
  <c r="BP125" i="18"/>
  <c r="Y125" i="18"/>
  <c r="AO125" i="18"/>
  <c r="BE125" i="18"/>
  <c r="BU125" i="18"/>
  <c r="BF125" i="18"/>
  <c r="BJ125" i="18"/>
  <c r="AX125" i="18"/>
  <c r="BB125" i="18"/>
  <c r="BV125" i="18"/>
  <c r="BN125" i="18"/>
  <c r="V125" i="18"/>
  <c r="Y126" i="18" l="1"/>
  <c r="AO126" i="18"/>
  <c r="BE126" i="18"/>
  <c r="BU126" i="18"/>
  <c r="Z126" i="18"/>
  <c r="AP126" i="18"/>
  <c r="BF126" i="18"/>
  <c r="BV126" i="18"/>
  <c r="AA126" i="18"/>
  <c r="AQ126" i="18"/>
  <c r="BG126" i="18"/>
  <c r="BW126" i="18"/>
  <c r="BH126" i="18"/>
  <c r="BL126" i="18"/>
  <c r="BP126" i="18"/>
  <c r="BT126" i="18"/>
  <c r="BJ126" i="18"/>
  <c r="BK126" i="18"/>
  <c r="X126" i="18"/>
  <c r="AC126" i="18"/>
  <c r="AS126" i="18"/>
  <c r="BI126" i="18"/>
  <c r="BY126" i="18"/>
  <c r="AD126" i="18"/>
  <c r="AT126" i="18"/>
  <c r="BZ126" i="18"/>
  <c r="AU126" i="18"/>
  <c r="T126" i="18"/>
  <c r="AG126" i="18"/>
  <c r="AW126" i="18"/>
  <c r="BM126" i="18"/>
  <c r="R126" i="18"/>
  <c r="AH126" i="18"/>
  <c r="AX126" i="18"/>
  <c r="BN126" i="18"/>
  <c r="S126" i="18"/>
  <c r="AI126" i="18"/>
  <c r="AY126" i="18"/>
  <c r="BO126" i="18"/>
  <c r="AB126" i="18"/>
  <c r="AF126" i="18"/>
  <c r="AJ126" i="18"/>
  <c r="AN126" i="18"/>
  <c r="U126" i="18"/>
  <c r="AK126" i="18"/>
  <c r="BA126" i="18"/>
  <c r="BQ126" i="18"/>
  <c r="V126" i="18"/>
  <c r="AL126" i="18"/>
  <c r="BB126" i="18"/>
  <c r="BR126" i="18"/>
  <c r="W126" i="18"/>
  <c r="AM126" i="18"/>
  <c r="BC126" i="18"/>
  <c r="BS126" i="18"/>
  <c r="AR126" i="18"/>
  <c r="AV126" i="18"/>
  <c r="AZ126" i="18"/>
  <c r="BD126" i="18"/>
  <c r="AE126" i="18"/>
  <c r="CA126" i="18"/>
  <c r="BX126" i="18"/>
  <c r="N127" i="18"/>
  <c r="O127" i="18" s="1"/>
  <c r="P127" i="18" s="1"/>
  <c r="Q127" i="18" s="1"/>
  <c r="AY127" i="18" l="1"/>
  <c r="BP127" i="18"/>
  <c r="BU127" i="18"/>
  <c r="AL127" i="18"/>
  <c r="BZ127" i="18"/>
  <c r="W127" i="18"/>
  <c r="AM127" i="18"/>
  <c r="BC127" i="18"/>
  <c r="BS127" i="18"/>
  <c r="X127" i="18"/>
  <c r="AN127" i="18"/>
  <c r="BD127" i="18"/>
  <c r="BT127" i="18"/>
  <c r="AS127" i="18"/>
  <c r="BY127" i="18"/>
  <c r="BV127" i="18"/>
  <c r="AA127" i="18"/>
  <c r="AQ127" i="18"/>
  <c r="BG127" i="18"/>
  <c r="BW127" i="18"/>
  <c r="AB127" i="18"/>
  <c r="AR127" i="18"/>
  <c r="BH127" i="18"/>
  <c r="BX127" i="18"/>
  <c r="AG127" i="18"/>
  <c r="AW127" i="18"/>
  <c r="BM127" i="18"/>
  <c r="AD127" i="18"/>
  <c r="BF127" i="18"/>
  <c r="BN127" i="18"/>
  <c r="BR127" i="18"/>
  <c r="N128" i="18"/>
  <c r="O128" i="18" s="1"/>
  <c r="P128" i="18" s="1"/>
  <c r="Q128" i="18" s="1"/>
  <c r="AI127" i="18"/>
  <c r="T127" i="18"/>
  <c r="AZ127" i="18"/>
  <c r="Y127" i="18"/>
  <c r="BE127" i="18"/>
  <c r="AH127" i="18"/>
  <c r="AP127" i="18"/>
  <c r="BI127" i="18"/>
  <c r="BB127" i="18"/>
  <c r="AE127" i="18"/>
  <c r="AU127" i="18"/>
  <c r="BK127" i="18"/>
  <c r="CA127" i="18"/>
  <c r="AF127" i="18"/>
  <c r="AV127" i="18"/>
  <c r="BL127" i="18"/>
  <c r="U127" i="18"/>
  <c r="AK127" i="18"/>
  <c r="BA127" i="18"/>
  <c r="BQ127" i="18"/>
  <c r="AT127" i="18"/>
  <c r="R127" i="18"/>
  <c r="V127" i="18"/>
  <c r="Z127" i="18"/>
  <c r="S127" i="18"/>
  <c r="BO127" i="18"/>
  <c r="AJ127" i="18"/>
  <c r="AO127" i="18"/>
  <c r="BJ127" i="18"/>
  <c r="AC127" i="18"/>
  <c r="AX127" i="18"/>
  <c r="Y128" i="18" l="1"/>
  <c r="AO128" i="18"/>
  <c r="BE128" i="18"/>
  <c r="BU128" i="18"/>
  <c r="Z128" i="18"/>
  <c r="AP128" i="18"/>
  <c r="BF128" i="18"/>
  <c r="BV128" i="18"/>
  <c r="AA128" i="18"/>
  <c r="AQ128" i="18"/>
  <c r="BG128" i="18"/>
  <c r="BW128" i="18"/>
  <c r="BL128" i="18"/>
  <c r="BP128" i="18"/>
  <c r="BD128" i="18"/>
  <c r="BH128" i="18"/>
  <c r="AC128" i="18"/>
  <c r="BI128" i="18"/>
  <c r="BY128" i="18"/>
  <c r="BJ128" i="18"/>
  <c r="AU128" i="18"/>
  <c r="T128" i="18"/>
  <c r="N129" i="18"/>
  <c r="O129" i="18" s="1"/>
  <c r="P129" i="18" s="1"/>
  <c r="Q129" i="18" s="1"/>
  <c r="AI128" i="18"/>
  <c r="AJ128" i="18"/>
  <c r="AS128" i="18"/>
  <c r="AT128" i="18"/>
  <c r="AE128" i="18"/>
  <c r="BX128" i="18"/>
  <c r="BO128" i="18"/>
  <c r="AG128" i="18"/>
  <c r="AW128" i="18"/>
  <c r="BM128" i="18"/>
  <c r="R128" i="18"/>
  <c r="AH128" i="18"/>
  <c r="AX128" i="18"/>
  <c r="BN128" i="18"/>
  <c r="AY128" i="18"/>
  <c r="X128" i="18"/>
  <c r="U128" i="18"/>
  <c r="AK128" i="18"/>
  <c r="BA128" i="18"/>
  <c r="BQ128" i="18"/>
  <c r="V128" i="18"/>
  <c r="AL128" i="18"/>
  <c r="BB128" i="18"/>
  <c r="BR128" i="18"/>
  <c r="W128" i="18"/>
  <c r="AM128" i="18"/>
  <c r="BC128" i="18"/>
  <c r="BS128" i="18"/>
  <c r="AV128" i="18"/>
  <c r="AZ128" i="18"/>
  <c r="AN128" i="18"/>
  <c r="AR128" i="18"/>
  <c r="AD128" i="18"/>
  <c r="BZ128" i="18"/>
  <c r="BK128" i="18"/>
  <c r="CA128" i="18"/>
  <c r="BT128" i="18"/>
  <c r="S128" i="18"/>
  <c r="AF128" i="18"/>
  <c r="AB128" i="18"/>
  <c r="W129" i="18" l="1"/>
  <c r="AM129" i="18"/>
  <c r="BC129" i="18"/>
  <c r="BS129" i="18"/>
  <c r="X129" i="18"/>
  <c r="AN129" i="18"/>
  <c r="BD129" i="18"/>
  <c r="BT129" i="18"/>
  <c r="AC129" i="18"/>
  <c r="AS129" i="18"/>
  <c r="BI129" i="18"/>
  <c r="BY129" i="18"/>
  <c r="BN129" i="18"/>
  <c r="BV129" i="18"/>
  <c r="AG129" i="18"/>
  <c r="V129" i="18"/>
  <c r="N130" i="18"/>
  <c r="O130" i="18" s="1"/>
  <c r="P130" i="18" s="1"/>
  <c r="Q130" i="18" s="1"/>
  <c r="AA129" i="18"/>
  <c r="AQ129" i="18"/>
  <c r="BG129" i="18"/>
  <c r="BW129" i="18"/>
  <c r="AB129" i="18"/>
  <c r="AR129" i="18"/>
  <c r="BH129" i="18"/>
  <c r="BX129" i="18"/>
  <c r="BM129" i="18"/>
  <c r="Z129" i="18"/>
  <c r="AE129" i="18"/>
  <c r="AU129" i="18"/>
  <c r="BK129" i="18"/>
  <c r="CA129" i="18"/>
  <c r="AF129" i="18"/>
  <c r="AV129" i="18"/>
  <c r="BL129" i="18"/>
  <c r="U129" i="18"/>
  <c r="AK129" i="18"/>
  <c r="BA129" i="18"/>
  <c r="BQ129" i="18"/>
  <c r="AH129" i="18"/>
  <c r="AL129" i="18"/>
  <c r="AP129" i="18"/>
  <c r="AT129" i="18"/>
  <c r="S129" i="18"/>
  <c r="AI129" i="18"/>
  <c r="AY129" i="18"/>
  <c r="BO129" i="18"/>
  <c r="T129" i="18"/>
  <c r="AJ129" i="18"/>
  <c r="AZ129" i="18"/>
  <c r="BP129" i="18"/>
  <c r="Y129" i="18"/>
  <c r="AO129" i="18"/>
  <c r="BE129" i="18"/>
  <c r="BU129" i="18"/>
  <c r="AX129" i="18"/>
  <c r="BB129" i="18"/>
  <c r="BF129" i="18"/>
  <c r="BJ129" i="18"/>
  <c r="BR129" i="18"/>
  <c r="BZ129" i="18"/>
  <c r="AW129" i="18"/>
  <c r="R129" i="18"/>
  <c r="AD129" i="18"/>
  <c r="Y130" i="18" l="1"/>
  <c r="AO130" i="18"/>
  <c r="BE130" i="18"/>
  <c r="BU130" i="18"/>
  <c r="Z130" i="18"/>
  <c r="AP130" i="18"/>
  <c r="BF130" i="18"/>
  <c r="BV130" i="18"/>
  <c r="AA130" i="18"/>
  <c r="BG130" i="18"/>
  <c r="AZ130" i="18"/>
  <c r="AC130" i="18"/>
  <c r="AS130" i="18"/>
  <c r="BI130" i="18"/>
  <c r="BY130" i="18"/>
  <c r="AD130" i="18"/>
  <c r="AT130" i="18"/>
  <c r="BJ130" i="18"/>
  <c r="BZ130" i="18"/>
  <c r="AE130" i="18"/>
  <c r="AU130" i="18"/>
  <c r="BK130" i="18"/>
  <c r="CA130" i="18"/>
  <c r="BP130" i="18"/>
  <c r="BT130" i="18"/>
  <c r="BX130" i="18"/>
  <c r="N131" i="18"/>
  <c r="O131" i="18" s="1"/>
  <c r="P131" i="18" s="1"/>
  <c r="Q131" i="18" s="1"/>
  <c r="X130" i="18"/>
  <c r="BH130" i="18"/>
  <c r="AG130" i="18"/>
  <c r="AW130" i="18"/>
  <c r="BM130" i="18"/>
  <c r="R130" i="18"/>
  <c r="AH130" i="18"/>
  <c r="AX130" i="18"/>
  <c r="BN130" i="18"/>
  <c r="S130" i="18"/>
  <c r="AI130" i="18"/>
  <c r="AY130" i="18"/>
  <c r="BO130" i="18"/>
  <c r="T130" i="18"/>
  <c r="AB130" i="18"/>
  <c r="AF130" i="18"/>
  <c r="BL130" i="18"/>
  <c r="U130" i="18"/>
  <c r="AK130" i="18"/>
  <c r="BA130" i="18"/>
  <c r="BQ130" i="18"/>
  <c r="V130" i="18"/>
  <c r="AL130" i="18"/>
  <c r="BB130" i="18"/>
  <c r="BR130" i="18"/>
  <c r="W130" i="18"/>
  <c r="AM130" i="18"/>
  <c r="BC130" i="18"/>
  <c r="BS130" i="18"/>
  <c r="AJ130" i="18"/>
  <c r="AN130" i="18"/>
  <c r="AR130" i="18"/>
  <c r="AV130" i="18"/>
  <c r="AQ130" i="18"/>
  <c r="BW130" i="18"/>
  <c r="BD130" i="18"/>
  <c r="W131" i="18" l="1"/>
  <c r="AM131" i="18"/>
  <c r="BC131" i="18"/>
  <c r="BS131" i="18"/>
  <c r="X131" i="18"/>
  <c r="AN131" i="18"/>
  <c r="U131" i="18"/>
  <c r="BA131" i="18"/>
  <c r="BD131" i="18"/>
  <c r="AA131" i="18"/>
  <c r="AQ131" i="18"/>
  <c r="BG131" i="18"/>
  <c r="BW131" i="18"/>
  <c r="AB131" i="18"/>
  <c r="AR131" i="18"/>
  <c r="Y131" i="18"/>
  <c r="AO131" i="18"/>
  <c r="BE131" i="18"/>
  <c r="BU131" i="18"/>
  <c r="BB131" i="18"/>
  <c r="BP131" i="18"/>
  <c r="BL131" i="18"/>
  <c r="BF131" i="18"/>
  <c r="AH131" i="18"/>
  <c r="N132" i="18"/>
  <c r="O132" i="18" s="1"/>
  <c r="P132" i="18" s="1"/>
  <c r="Q132" i="18" s="1"/>
  <c r="AE131" i="18"/>
  <c r="AU131" i="18"/>
  <c r="BK131" i="18"/>
  <c r="CA131" i="18"/>
  <c r="AF131" i="18"/>
  <c r="AV131" i="18"/>
  <c r="AC131" i="18"/>
  <c r="AS131" i="18"/>
  <c r="BI131" i="18"/>
  <c r="BY131" i="18"/>
  <c r="BJ131" i="18"/>
  <c r="Z131" i="18"/>
  <c r="BT131" i="18"/>
  <c r="BN131" i="18"/>
  <c r="AX131" i="18"/>
  <c r="BR131" i="18"/>
  <c r="AD131" i="18"/>
  <c r="BV131" i="18"/>
  <c r="AK131" i="18"/>
  <c r="AL131" i="18"/>
  <c r="AT131" i="18"/>
  <c r="BX131" i="18"/>
  <c r="S131" i="18"/>
  <c r="AI131" i="18"/>
  <c r="AY131" i="18"/>
  <c r="BO131" i="18"/>
  <c r="T131" i="18"/>
  <c r="AJ131" i="18"/>
  <c r="AZ131" i="18"/>
  <c r="AG131" i="18"/>
  <c r="AW131" i="18"/>
  <c r="BM131" i="18"/>
  <c r="V131" i="18"/>
  <c r="AP131" i="18"/>
  <c r="BH131" i="18"/>
  <c r="BQ131" i="18"/>
  <c r="BZ131" i="18"/>
  <c r="R131" i="18"/>
  <c r="Y132" i="18" l="1"/>
  <c r="AO132" i="18"/>
  <c r="BE132" i="18"/>
  <c r="BU132" i="18"/>
  <c r="AA132" i="18"/>
  <c r="AQ132" i="18"/>
  <c r="BG132" i="18"/>
  <c r="AN132" i="18"/>
  <c r="AP132" i="18"/>
  <c r="N133" i="18"/>
  <c r="O133" i="18" s="1"/>
  <c r="P133" i="18" s="1"/>
  <c r="Q133" i="18" s="1"/>
  <c r="AC132" i="18"/>
  <c r="AS132" i="18"/>
  <c r="BI132" i="18"/>
  <c r="BY132" i="18"/>
  <c r="AE132" i="18"/>
  <c r="AU132" i="18"/>
  <c r="BK132" i="18"/>
  <c r="CA132" i="18"/>
  <c r="AV132" i="18"/>
  <c r="AD132" i="18"/>
  <c r="R132" i="18"/>
  <c r="AX132" i="18"/>
  <c r="T132" i="18"/>
  <c r="AZ132" i="18"/>
  <c r="V132" i="18"/>
  <c r="AG132" i="18"/>
  <c r="AW132" i="18"/>
  <c r="BM132" i="18"/>
  <c r="S132" i="18"/>
  <c r="AI132" i="18"/>
  <c r="AY132" i="18"/>
  <c r="BO132" i="18"/>
  <c r="X132" i="18"/>
  <c r="BD132" i="18"/>
  <c r="AT132" i="18"/>
  <c r="Z132" i="18"/>
  <c r="BF132" i="18"/>
  <c r="AB132" i="18"/>
  <c r="BH132" i="18"/>
  <c r="AL132" i="18"/>
  <c r="BP132" i="18"/>
  <c r="BW132" i="18"/>
  <c r="BZ132" i="18"/>
  <c r="AR132" i="18"/>
  <c r="BX132" i="18"/>
  <c r="U132" i="18"/>
  <c r="AK132" i="18"/>
  <c r="BA132" i="18"/>
  <c r="BQ132" i="18"/>
  <c r="W132" i="18"/>
  <c r="AM132" i="18"/>
  <c r="BC132" i="18"/>
  <c r="BS132" i="18"/>
  <c r="AF132" i="18"/>
  <c r="BL132" i="18"/>
  <c r="BJ132" i="18"/>
  <c r="AH132" i="18"/>
  <c r="BN132" i="18"/>
  <c r="AJ132" i="18"/>
  <c r="BB132" i="18"/>
  <c r="BT132" i="18"/>
  <c r="BV132" i="18"/>
  <c r="BR132" i="18"/>
  <c r="W133" i="18" l="1"/>
  <c r="AM133" i="18"/>
  <c r="BC133" i="18"/>
  <c r="BS133" i="18"/>
  <c r="Y133" i="18"/>
  <c r="AO133" i="18"/>
  <c r="BE133" i="18"/>
  <c r="BU133" i="18"/>
  <c r="AH133" i="18"/>
  <c r="BN133" i="18"/>
  <c r="BT133" i="18"/>
  <c r="AR133" i="18"/>
  <c r="BX133" i="18"/>
  <c r="BR133" i="18"/>
  <c r="BV133" i="18"/>
  <c r="AT133" i="18"/>
  <c r="AA133" i="18"/>
  <c r="AQ133" i="18"/>
  <c r="BG133" i="18"/>
  <c r="BW133" i="18"/>
  <c r="AC133" i="18"/>
  <c r="AS133" i="18"/>
  <c r="BI133" i="18"/>
  <c r="BY133" i="18"/>
  <c r="AP133" i="18"/>
  <c r="AZ133" i="18"/>
  <c r="BZ133" i="18"/>
  <c r="AE133" i="18"/>
  <c r="AU133" i="18"/>
  <c r="BK133" i="18"/>
  <c r="CA133" i="18"/>
  <c r="AG133" i="18"/>
  <c r="AW133" i="18"/>
  <c r="BM133" i="18"/>
  <c r="R133" i="18"/>
  <c r="AX133" i="18"/>
  <c r="AF133" i="18"/>
  <c r="AB133" i="18"/>
  <c r="BH133" i="18"/>
  <c r="V133" i="18"/>
  <c r="BB133" i="18"/>
  <c r="X133" i="18"/>
  <c r="S133" i="18"/>
  <c r="AI133" i="18"/>
  <c r="AY133" i="18"/>
  <c r="BO133" i="18"/>
  <c r="U133" i="18"/>
  <c r="AK133" i="18"/>
  <c r="BA133" i="18"/>
  <c r="BQ133" i="18"/>
  <c r="Z133" i="18"/>
  <c r="BF133" i="18"/>
  <c r="AV133" i="18"/>
  <c r="AJ133" i="18"/>
  <c r="BP133" i="18"/>
  <c r="AD133" i="18"/>
  <c r="BJ133" i="18"/>
  <c r="AN133" i="18"/>
  <c r="AL133" i="18"/>
  <c r="BL133" i="18"/>
  <c r="T133" i="18"/>
  <c r="BD133" i="18"/>
  <c r="N134" i="18"/>
  <c r="O134" i="18" s="1"/>
  <c r="P134" i="18" s="1"/>
  <c r="Q134" i="18" s="1"/>
  <c r="Y134" i="18" l="1"/>
  <c r="AO134" i="18"/>
  <c r="BE134" i="18"/>
  <c r="BU134" i="18"/>
  <c r="AE134" i="18"/>
  <c r="AU134" i="18"/>
  <c r="BK134" i="18"/>
  <c r="CA134" i="18"/>
  <c r="AR134" i="18"/>
  <c r="BX134" i="18"/>
  <c r="AD134" i="18"/>
  <c r="BJ134" i="18"/>
  <c r="BV134" i="18"/>
  <c r="AV134" i="18"/>
  <c r="BZ134" i="18"/>
  <c r="AL134" i="18"/>
  <c r="BD134" i="18"/>
  <c r="AC134" i="18"/>
  <c r="AS134" i="18"/>
  <c r="BI134" i="18"/>
  <c r="S134" i="18"/>
  <c r="AI134" i="18"/>
  <c r="AY134" i="18"/>
  <c r="BO134" i="18"/>
  <c r="T134" i="18"/>
  <c r="AZ134" i="18"/>
  <c r="Z134" i="18"/>
  <c r="X134" i="18"/>
  <c r="N135" i="18"/>
  <c r="O135" i="18" s="1"/>
  <c r="P135" i="18" s="1"/>
  <c r="Q135" i="18" s="1"/>
  <c r="AG134" i="18"/>
  <c r="AW134" i="18"/>
  <c r="BM134" i="18"/>
  <c r="W134" i="18"/>
  <c r="AM134" i="18"/>
  <c r="BC134" i="18"/>
  <c r="BS134" i="18"/>
  <c r="AB134" i="18"/>
  <c r="BH134" i="18"/>
  <c r="BF134" i="18"/>
  <c r="AT134" i="18"/>
  <c r="BY134" i="18"/>
  <c r="AF134" i="18"/>
  <c r="BL134" i="18"/>
  <c r="AH134" i="18"/>
  <c r="U134" i="18"/>
  <c r="AK134" i="18"/>
  <c r="BA134" i="18"/>
  <c r="BQ134" i="18"/>
  <c r="AA134" i="18"/>
  <c r="AQ134" i="18"/>
  <c r="BG134" i="18"/>
  <c r="BW134" i="18"/>
  <c r="AJ134" i="18"/>
  <c r="BP134" i="18"/>
  <c r="V134" i="18"/>
  <c r="BB134" i="18"/>
  <c r="AP134" i="18"/>
  <c r="AN134" i="18"/>
  <c r="BT134" i="18"/>
  <c r="AX134" i="18"/>
  <c r="BN134" i="18"/>
  <c r="BR134" i="18"/>
  <c r="R134" i="18"/>
  <c r="Y135" i="18" l="1"/>
  <c r="AO135" i="18"/>
  <c r="BE135" i="18"/>
  <c r="BU135" i="18"/>
  <c r="AD135" i="18"/>
  <c r="AY135" i="18"/>
  <c r="BT135" i="18"/>
  <c r="BC135" i="18"/>
  <c r="AE135" i="18"/>
  <c r="AZ135" i="18"/>
  <c r="BV135" i="18"/>
  <c r="BS135" i="18"/>
  <c r="AL135" i="18"/>
  <c r="W135" i="18"/>
  <c r="BL135" i="18"/>
  <c r="AC135" i="18"/>
  <c r="AS135" i="18"/>
  <c r="BI135" i="18"/>
  <c r="BY135" i="18"/>
  <c r="AI135" i="18"/>
  <c r="BD135" i="18"/>
  <c r="BZ135" i="18"/>
  <c r="BX135" i="18"/>
  <c r="AJ135" i="18"/>
  <c r="BF135" i="18"/>
  <c r="CA135" i="18"/>
  <c r="V135" i="18"/>
  <c r="AH135" i="18"/>
  <c r="AG135" i="18"/>
  <c r="AW135" i="18"/>
  <c r="BM135" i="18"/>
  <c r="S135" i="18"/>
  <c r="AN135" i="18"/>
  <c r="BJ135" i="18"/>
  <c r="R135" i="18"/>
  <c r="T135" i="18"/>
  <c r="AP135" i="18"/>
  <c r="BK135" i="18"/>
  <c r="AB135" i="18"/>
  <c r="AA135" i="18"/>
  <c r="AV135" i="18"/>
  <c r="BR135" i="18"/>
  <c r="AR135" i="18"/>
  <c r="BN135" i="18"/>
  <c r="N136" i="18"/>
  <c r="O136" i="18" s="1"/>
  <c r="P136" i="18" s="1"/>
  <c r="Q136" i="18" s="1"/>
  <c r="U135" i="18"/>
  <c r="AK135" i="18"/>
  <c r="BA135" i="18"/>
  <c r="BQ135" i="18"/>
  <c r="X135" i="18"/>
  <c r="AT135" i="18"/>
  <c r="BO135" i="18"/>
  <c r="AM135" i="18"/>
  <c r="Z135" i="18"/>
  <c r="AU135" i="18"/>
  <c r="BP135" i="18"/>
  <c r="AX135" i="18"/>
  <c r="AF135" i="18"/>
  <c r="BB135" i="18"/>
  <c r="BW135" i="18"/>
  <c r="BH135" i="18"/>
  <c r="BG135" i="18"/>
  <c r="AQ135" i="18"/>
  <c r="W136" i="18" l="1"/>
  <c r="AM136" i="18"/>
  <c r="BC136" i="18"/>
  <c r="BS136" i="18"/>
  <c r="Z136" i="18"/>
  <c r="AV136" i="18"/>
  <c r="BQ136" i="18"/>
  <c r="BU136" i="18"/>
  <c r="AL136" i="18"/>
  <c r="BH136" i="18"/>
  <c r="Y136" i="18"/>
  <c r="X136" i="18"/>
  <c r="AS136" i="18"/>
  <c r="BN136" i="18"/>
  <c r="BZ136" i="18"/>
  <c r="N137" i="18"/>
  <c r="O137" i="18" s="1"/>
  <c r="P137" i="18" s="1"/>
  <c r="Q137" i="18" s="1"/>
  <c r="AA136" i="18"/>
  <c r="AQ136" i="18"/>
  <c r="BG136" i="18"/>
  <c r="BW136" i="18"/>
  <c r="AF136" i="18"/>
  <c r="BA136" i="18"/>
  <c r="BV136" i="18"/>
  <c r="V136" i="18"/>
  <c r="AR136" i="18"/>
  <c r="BM136" i="18"/>
  <c r="AT136" i="18"/>
  <c r="AX136" i="18"/>
  <c r="AE136" i="18"/>
  <c r="AU136" i="18"/>
  <c r="BK136" i="18"/>
  <c r="CA136" i="18"/>
  <c r="AK136" i="18"/>
  <c r="BF136" i="18"/>
  <c r="AJ136" i="18"/>
  <c r="AB136" i="18"/>
  <c r="AW136" i="18"/>
  <c r="BR136" i="18"/>
  <c r="BP136" i="18"/>
  <c r="AH136" i="18"/>
  <c r="BD136" i="18"/>
  <c r="BY136" i="18"/>
  <c r="BE136" i="18"/>
  <c r="AO136" i="18"/>
  <c r="S136" i="18"/>
  <c r="AI136" i="18"/>
  <c r="AY136" i="18"/>
  <c r="BO136" i="18"/>
  <c r="U136" i="18"/>
  <c r="AP136" i="18"/>
  <c r="BL136" i="18"/>
  <c r="AZ136" i="18"/>
  <c r="AG136" i="18"/>
  <c r="BB136" i="18"/>
  <c r="BX136" i="18"/>
  <c r="R136" i="18"/>
  <c r="AN136" i="18"/>
  <c r="BI136" i="18"/>
  <c r="T136" i="18"/>
  <c r="BJ136" i="18"/>
  <c r="AD136" i="18"/>
  <c r="AC136" i="18"/>
  <c r="BT136" i="18"/>
  <c r="Y137" i="18" l="1"/>
  <c r="AO137" i="18"/>
  <c r="BE137" i="18"/>
  <c r="BU137" i="18"/>
  <c r="AB137" i="18"/>
  <c r="AX137" i="18"/>
  <c r="BS137" i="18"/>
  <c r="AL137" i="18"/>
  <c r="X137" i="18"/>
  <c r="AY137" i="18"/>
  <c r="BT137" i="18"/>
  <c r="BL137" i="18"/>
  <c r="AJ137" i="18"/>
  <c r="BF137" i="18"/>
  <c r="CA137" i="18"/>
  <c r="BR137" i="18"/>
  <c r="AK137" i="18"/>
  <c r="W137" i="18"/>
  <c r="V137" i="18"/>
  <c r="AT137" i="18"/>
  <c r="AE137" i="18"/>
  <c r="BB137" i="18"/>
  <c r="AC137" i="18"/>
  <c r="AS137" i="18"/>
  <c r="BI137" i="18"/>
  <c r="BY137" i="18"/>
  <c r="AH137" i="18"/>
  <c r="BC137" i="18"/>
  <c r="BX137" i="18"/>
  <c r="BG137" i="18"/>
  <c r="AD137" i="18"/>
  <c r="BD137" i="18"/>
  <c r="BZ137" i="18"/>
  <c r="T137" i="18"/>
  <c r="AP137" i="18"/>
  <c r="BK137" i="18"/>
  <c r="AF137" i="18"/>
  <c r="N138" i="18"/>
  <c r="O138" i="18" s="1"/>
  <c r="P138" i="18" s="1"/>
  <c r="Q138" i="18" s="1"/>
  <c r="AQ137" i="18"/>
  <c r="U137" i="18"/>
  <c r="BA137" i="18"/>
  <c r="BQ137" i="18"/>
  <c r="AR137" i="18"/>
  <c r="S137" i="18"/>
  <c r="AV137" i="18"/>
  <c r="AZ137" i="18"/>
  <c r="AG137" i="18"/>
  <c r="AW137" i="18"/>
  <c r="BM137" i="18"/>
  <c r="R137" i="18"/>
  <c r="AM137" i="18"/>
  <c r="BH137" i="18"/>
  <c r="AN137" i="18"/>
  <c r="BW137" i="18"/>
  <c r="AI137" i="18"/>
  <c r="BJ137" i="18"/>
  <c r="AA137" i="18"/>
  <c r="Z137" i="18"/>
  <c r="AU137" i="18"/>
  <c r="BP137" i="18"/>
  <c r="BN137" i="18"/>
  <c r="BO137" i="18"/>
  <c r="BV137" i="18"/>
  <c r="W138" i="18" l="1"/>
  <c r="AM138" i="18"/>
  <c r="BC138" i="18"/>
  <c r="BS138" i="18"/>
  <c r="Y138" i="18"/>
  <c r="AT138" i="18"/>
  <c r="BP138" i="18"/>
  <c r="AV138" i="18"/>
  <c r="AX138" i="18"/>
  <c r="AF138" i="18"/>
  <c r="BV138" i="18"/>
  <c r="V138" i="18"/>
  <c r="AR138" i="18"/>
  <c r="BM138" i="18"/>
  <c r="AC138" i="18"/>
  <c r="BY138" i="18"/>
  <c r="BR138" i="18"/>
  <c r="N139" i="18"/>
  <c r="O139" i="18" s="1"/>
  <c r="P139" i="18" s="1"/>
  <c r="Q139" i="18" s="1"/>
  <c r="AI138" i="18"/>
  <c r="BO138" i="18"/>
  <c r="BJ138" i="18"/>
  <c r="Z138" i="18"/>
  <c r="BH138" i="18"/>
  <c r="AA138" i="18"/>
  <c r="AQ138" i="18"/>
  <c r="BG138" i="18"/>
  <c r="BW138" i="18"/>
  <c r="AD138" i="18"/>
  <c r="AZ138" i="18"/>
  <c r="BU138" i="18"/>
  <c r="BF138" i="18"/>
  <c r="BT138" i="18"/>
  <c r="AP138" i="18"/>
  <c r="X138" i="18"/>
  <c r="AB138" i="18"/>
  <c r="AW138" i="18"/>
  <c r="AN138" i="18"/>
  <c r="S138" i="18"/>
  <c r="T138" i="18"/>
  <c r="AH138" i="18"/>
  <c r="BI138" i="18"/>
  <c r="R138" i="18"/>
  <c r="AE138" i="18"/>
  <c r="AU138" i="18"/>
  <c r="BK138" i="18"/>
  <c r="CA138" i="18"/>
  <c r="AJ138" i="18"/>
  <c r="BE138" i="18"/>
  <c r="BZ138" i="18"/>
  <c r="BQ138" i="18"/>
  <c r="U138" i="18"/>
  <c r="BA138" i="18"/>
  <c r="AS138" i="18"/>
  <c r="AG138" i="18"/>
  <c r="BB138" i="18"/>
  <c r="BX138" i="18"/>
  <c r="BD138" i="18"/>
  <c r="AY138" i="18"/>
  <c r="AO138" i="18"/>
  <c r="AK138" i="18"/>
  <c r="BL138" i="18"/>
  <c r="AL138" i="18"/>
  <c r="BN138" i="18"/>
  <c r="Y139" i="18" l="1"/>
  <c r="AO139" i="18"/>
  <c r="BE139" i="18"/>
  <c r="BU139" i="18"/>
  <c r="AF139" i="18"/>
  <c r="BB139" i="18"/>
  <c r="BW139" i="18"/>
  <c r="AR139" i="18"/>
  <c r="Z139" i="18"/>
  <c r="W139" i="18"/>
  <c r="BS139" i="18"/>
  <c r="S139" i="18"/>
  <c r="AN139" i="18"/>
  <c r="BJ139" i="18"/>
  <c r="AE139" i="18"/>
  <c r="CA139" i="18"/>
  <c r="AG139" i="18"/>
  <c r="BM139" i="18"/>
  <c r="V139" i="18"/>
  <c r="AB139" i="18"/>
  <c r="BF139" i="18"/>
  <c r="AD139" i="18"/>
  <c r="BT139" i="18"/>
  <c r="AK139" i="18"/>
  <c r="AA139" i="18"/>
  <c r="AH139" i="18"/>
  <c r="BV139" i="18"/>
  <c r="AI139" i="18"/>
  <c r="BZ139" i="18"/>
  <c r="AC139" i="18"/>
  <c r="AS139" i="18"/>
  <c r="BI139" i="18"/>
  <c r="BY139" i="18"/>
  <c r="AL139" i="18"/>
  <c r="BG139" i="18"/>
  <c r="R139" i="18"/>
  <c r="BC139" i="18"/>
  <c r="AP139" i="18"/>
  <c r="AM139" i="18"/>
  <c r="T139" i="18"/>
  <c r="X139" i="18"/>
  <c r="AT139" i="18"/>
  <c r="BO139" i="18"/>
  <c r="AJ139" i="18"/>
  <c r="AW139" i="18"/>
  <c r="AQ139" i="18"/>
  <c r="BN139" i="18"/>
  <c r="AX139" i="18"/>
  <c r="AU139" i="18"/>
  <c r="AY139" i="18"/>
  <c r="AZ139" i="18"/>
  <c r="BA139" i="18"/>
  <c r="BR139" i="18"/>
  <c r="BX139" i="18"/>
  <c r="BH139" i="18"/>
  <c r="BD139" i="18"/>
  <c r="BL139" i="18"/>
  <c r="U139" i="18"/>
  <c r="BQ139" i="18"/>
  <c r="AV139" i="18"/>
  <c r="BK139" i="18"/>
  <c r="BP139" i="18"/>
</calcChain>
</file>

<file path=xl/sharedStrings.xml><?xml version="1.0" encoding="utf-8"?>
<sst xmlns="http://schemas.openxmlformats.org/spreadsheetml/2006/main" count="773" uniqueCount="100">
  <si>
    <t>Наименование профиля</t>
  </si>
  <si>
    <t>Максимальные скорости производства, м/мин</t>
  </si>
  <si>
    <t>Время на заправку*, ч</t>
  </si>
  <si>
    <t>Время на разогрев фильеры, ч</t>
  </si>
  <si>
    <t>Время на очистку**, ч</t>
  </si>
  <si>
    <t>Уголок равнополочный L 25х25х3х3 мм</t>
  </si>
  <si>
    <t>Уголок равнополочный L 75х75х6х6 мм</t>
  </si>
  <si>
    <t>Уголок равнополочный L 100х100х4х4 мм</t>
  </si>
  <si>
    <t>Уголок неравнополочный L 120х44х4х4 мм</t>
  </si>
  <si>
    <t>Швеллер С 45х28х5х5 мм</t>
  </si>
  <si>
    <t>Швеллер С 100х50х6х6 мм</t>
  </si>
  <si>
    <t>Швеллер С 150x70x8x8 мм</t>
  </si>
  <si>
    <t>Швеллер С 200x100x10x10 мм</t>
  </si>
  <si>
    <t xml:space="preserve">Двутавр IB 160x160x10x10 мм </t>
  </si>
  <si>
    <t xml:space="preserve">Двутавр IB 200x200x15x15 мм </t>
  </si>
  <si>
    <t>Полоса FS 400х10 мм</t>
  </si>
  <si>
    <t>Труба круглая RT 32x3 мм</t>
  </si>
  <si>
    <t>Труба прямоугольная FT 28х18х2,5х2,5 мм</t>
  </si>
  <si>
    <t>Труба прямоугольная FT 40х25х3х3 мм</t>
  </si>
  <si>
    <t>Труба прямоугольная FT 55х25х3х3 мм</t>
  </si>
  <si>
    <t>Труба прямоугольная FT 50х30х3,5х3,5 мм</t>
  </si>
  <si>
    <t>Труба прямоугольная FT 73х25х3,5х3,5 мм</t>
  </si>
  <si>
    <t>Труба прямоугольная FT 100х50х5х5 мм</t>
  </si>
  <si>
    <t>Труба квадратная ST 50x50x5x5 мм</t>
  </si>
  <si>
    <t>Труба квадратная ST 60x60x5x5 мм</t>
  </si>
  <si>
    <t>Труба рифленная CN 35x25x5х5 мм</t>
  </si>
  <si>
    <t>Ступень SP 33х40х3 мм</t>
  </si>
  <si>
    <t>С-профиль СР 40х20х5х5 мм</t>
  </si>
  <si>
    <t xml:space="preserve">Боковина кабельного лотка СRT 100x30x4x4 мм </t>
  </si>
  <si>
    <t>Поручень RP 86х48х3х3 мм</t>
  </si>
  <si>
    <t>Кабельный лоток СТ 100х80х2,5х2,5 мм</t>
  </si>
  <si>
    <t>Кабельный лоток СТ 200х80х2,5х2,5 мм</t>
  </si>
  <si>
    <t>Кабельный лоток СТ 300х80х4х4 мм</t>
  </si>
  <si>
    <t>Кабельный лоток СТ 400х80х4х4 мм</t>
  </si>
  <si>
    <t>Крышка кабельного лотка СТС 100х10,5х2,5х2,5 мм</t>
  </si>
  <si>
    <t>Крышка кабельного лотка СТС 200х12х2,5х2,5 мм</t>
  </si>
  <si>
    <t>Крышка кабельного лотка СТС 300х12х3х4 мм</t>
  </si>
  <si>
    <t>Полоса отбойная CS (W) 100x14x3 мм</t>
  </si>
  <si>
    <t>Пруток овальный ОВ 15х8 мм (эпоксид)</t>
  </si>
  <si>
    <t>Пруток овальный ОВ 12,8х6,8 мм (эпоксид)</t>
  </si>
  <si>
    <t>Пруток овальный ОВ 10,2х5,4 мм (эпоксид)</t>
  </si>
  <si>
    <r>
      <t xml:space="preserve">* </t>
    </r>
    <r>
      <rPr>
        <b/>
        <sz val="12"/>
        <rFont val="Times New Roman"/>
        <family val="1"/>
        <charset val="204"/>
      </rPr>
      <t>— время протягивания ровинга, матов (включая их нарезку), приготовление пасты</t>
    </r>
  </si>
  <si>
    <r>
      <t xml:space="preserve">** </t>
    </r>
    <r>
      <rPr>
        <b/>
        <sz val="12"/>
        <rFont val="Times New Roman"/>
        <family val="1"/>
        <charset val="204"/>
      </rPr>
      <t>— время включает полную замывку ванны, стола, фильеры, преформы, смену пленки, промывку насоса</t>
    </r>
  </si>
  <si>
    <t>Гл. технолог - нач. производства УППСП</t>
  </si>
  <si>
    <t>Веревкин Д. В.</t>
  </si>
  <si>
    <t>Масса 1 п.м. , кг</t>
  </si>
  <si>
    <t xml:space="preserve">                 Утверждаю</t>
  </si>
  <si>
    <t xml:space="preserve">                                   Руководитель УППСП</t>
  </si>
  <si>
    <t xml:space="preserve">                                                        ______________Дементьев С. А.</t>
  </si>
  <si>
    <t xml:space="preserve">                                                   "___" ______________2016г.</t>
  </si>
  <si>
    <t>№ п/п</t>
  </si>
  <si>
    <t>Количество ручьев при изготовление готового изделия, шт</t>
  </si>
  <si>
    <t>Время суммарное, ч</t>
  </si>
  <si>
    <t>Крышка кабельного лотка СТС 400х12х3х4 мм</t>
  </si>
  <si>
    <t>Линия</t>
  </si>
  <si>
    <t>Линия HPM-15T(152)</t>
  </si>
  <si>
    <t>Линия HPM-15T(153)</t>
  </si>
  <si>
    <t>Ступень SP 28х28 мм</t>
  </si>
  <si>
    <t>Уголок равнополочный L 50х50х6х6 мм</t>
  </si>
  <si>
    <t>Уголок равнополочный L 63х63х5х5 мм</t>
  </si>
  <si>
    <t>Труба круглая RT 30х2,5 мм</t>
  </si>
  <si>
    <t>Труба круглая RT 38х3 мм</t>
  </si>
  <si>
    <t>Труба прямоугольная FT 39,4х24,8х2,8х2,8 мм</t>
  </si>
  <si>
    <t>Ступень SP 28х52 мм</t>
  </si>
  <si>
    <t>Крышка кабельного лотка СТС 600х12х3х5 мм</t>
  </si>
  <si>
    <t>линии</t>
  </si>
  <si>
    <t>Линия HPM-25T(251)</t>
  </si>
  <si>
    <t>Доступность</t>
  </si>
  <si>
    <t>Загрузка</t>
  </si>
  <si>
    <t>ЦВЕТ</t>
  </si>
  <si>
    <t>Дней в месяце</t>
  </si>
  <si>
    <t>Рабочих часов</t>
  </si>
  <si>
    <t>Рабочий фонд линии</t>
  </si>
  <si>
    <t>ннн</t>
  </si>
  <si>
    <t>Дельта в часах</t>
  </si>
  <si>
    <t>Циклограмма операций процесса переналадки</t>
  </si>
  <si>
    <t>№</t>
  </si>
  <si>
    <t>Действие</t>
  </si>
  <si>
    <t>Время начала</t>
  </si>
  <si>
    <t>Время окончания</t>
  </si>
  <si>
    <t>Сумма</t>
  </si>
  <si>
    <t>А</t>
  </si>
  <si>
    <t>В</t>
  </si>
  <si>
    <t>С</t>
  </si>
  <si>
    <t>Переналадка</t>
  </si>
  <si>
    <t>Серия</t>
  </si>
  <si>
    <t>время производства</t>
  </si>
  <si>
    <t>Итого (часов)</t>
  </si>
  <si>
    <t>Смена цвета</t>
  </si>
  <si>
    <t>Скорость метр\час</t>
  </si>
  <si>
    <t>Закрепление линии</t>
  </si>
  <si>
    <t>ПЛАН</t>
  </si>
  <si>
    <t>ФАКТ</t>
  </si>
  <si>
    <t>Дельта</t>
  </si>
  <si>
    <t>Планирование последовательности производства профиля</t>
  </si>
  <si>
    <t>План (метров)</t>
  </si>
  <si>
    <t>План (часов)</t>
  </si>
  <si>
    <t>Длин распила</t>
  </si>
  <si>
    <t>кол-во штук</t>
  </si>
  <si>
    <t>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</si>
</sst>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₽_-;\-* #,##0.00\ _₽_-;_-* &quot;-&quot;??\ _₽_-;_-@_-"/>
    <numFmt numFmtId="164" formatCode="0.0"/>
    <numFmt numFmtId="165" formatCode="0.000"/>
    <numFmt numFmtId="166" formatCode="[$-F800]dddd\,\ mmmm\ dd\,\ yyyy"/>
    <numFmt numFmtId="167" formatCode="#,##0.00000000"/>
    <numFmt numFmtId="168" formatCode="#,##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0"/>
      <name val="Arial Cyr"/>
      <charset val="204"/>
    </font>
    <font>
      <sz val="13"/>
      <name val="Arial Cyr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3"/>
      <name val="Arial Cyr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</font>
    <font>
      <sz val="16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24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FB7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8" fillId="0" borderId="0"/>
    <xf numFmtId="9" fontId="15" fillId="0" borderId="0" applyFont="0" applyFill="0" applyBorder="0" applyAlignment="0" applyProtection="0"/>
    <xf numFmtId="166" fontId="15" fillId="0" borderId="0"/>
    <xf numFmtId="0" fontId="6" fillId="0" borderId="0"/>
    <xf numFmtId="43" fontId="6" fillId="0" borderId="0" applyFont="0" applyFill="0" applyBorder="0" applyAlignment="0" applyProtection="0"/>
    <xf numFmtId="0" fontId="15" fillId="0" borderId="0"/>
    <xf numFmtId="0" fontId="5" fillId="0" borderId="0"/>
    <xf numFmtId="0" fontId="18" fillId="0" borderId="0"/>
    <xf numFmtId="0" fontId="1" fillId="0" borderId="0"/>
    <xf numFmtId="43" fontId="1" fillId="0" borderId="0" applyFont="0" applyFill="0" applyBorder="0" applyAlignment="0" applyProtection="0"/>
  </cellStyleXfs>
  <cellXfs count="78">
    <xf numFmtId="0" fontId="0" fillId="0" borderId="0" xfId="0"/>
    <xf numFmtId="0" fontId="9" fillId="0" borderId="4" xfId="1" applyFont="1" applyBorder="1" applyAlignment="1">
      <alignment horizontal="center" vertical="center"/>
    </xf>
    <xf numFmtId="0" fontId="9" fillId="0" borderId="0" xfId="1" applyFont="1"/>
    <xf numFmtId="0" fontId="9" fillId="0" borderId="0" xfId="1" applyFont="1" applyAlignment="1">
      <alignment horizontal="center" vertical="center"/>
    </xf>
    <xf numFmtId="0" fontId="10" fillId="0" borderId="0" xfId="1" applyFont="1" applyAlignment="1">
      <alignment horizontal="left" vertical="center"/>
    </xf>
    <xf numFmtId="0" fontId="14" fillId="2" borderId="2" xfId="0" applyFont="1" applyFill="1" applyBorder="1" applyAlignment="1">
      <alignment horizontal="center" vertical="center"/>
    </xf>
    <xf numFmtId="3" fontId="15" fillId="0" borderId="0" xfId="3" applyNumberFormat="1" applyAlignment="1">
      <alignment vertical="center" wrapText="1"/>
    </xf>
    <xf numFmtId="3" fontId="16" fillId="0" borderId="2" xfId="4" applyNumberFormat="1" applyFont="1" applyBorder="1" applyAlignment="1">
      <alignment horizontal="center" vertical="center"/>
    </xf>
    <xf numFmtId="167" fontId="16" fillId="4" borderId="2" xfId="4" applyNumberFormat="1" applyFont="1" applyFill="1" applyBorder="1" applyAlignment="1">
      <alignment horizontal="left" vertical="center"/>
    </xf>
    <xf numFmtId="1" fontId="15" fillId="6" borderId="2" xfId="6" applyNumberFormat="1" applyFill="1" applyBorder="1" applyAlignment="1">
      <alignment horizontal="center"/>
    </xf>
    <xf numFmtId="165" fontId="0" fillId="0" borderId="2" xfId="5" applyNumberFormat="1" applyFont="1" applyBorder="1" applyAlignment="1">
      <alignment horizontal="right" vertical="center" wrapText="1"/>
    </xf>
    <xf numFmtId="3" fontId="0" fillId="0" borderId="1" xfId="3" applyNumberFormat="1" applyFont="1" applyBorder="1" applyAlignment="1">
      <alignment horizontal="center" vertical="center" wrapText="1"/>
    </xf>
    <xf numFmtId="167" fontId="16" fillId="7" borderId="2" xfId="4" applyNumberFormat="1" applyFont="1" applyFill="1" applyBorder="1" applyAlignment="1">
      <alignment horizontal="left" vertical="center"/>
    </xf>
    <xf numFmtId="0" fontId="11" fillId="7" borderId="2" xfId="1" applyFont="1" applyFill="1" applyBorder="1" applyAlignment="1">
      <alignment horizontal="left" vertical="center" wrapText="1"/>
    </xf>
    <xf numFmtId="0" fontId="11" fillId="7" borderId="2" xfId="1" applyFont="1" applyFill="1" applyBorder="1" applyAlignment="1">
      <alignment horizontal="left" vertical="center"/>
    </xf>
    <xf numFmtId="0" fontId="11" fillId="7" borderId="2" xfId="1" applyFont="1" applyFill="1" applyBorder="1" applyAlignment="1">
      <alignment vertical="center" wrapText="1"/>
    </xf>
    <xf numFmtId="0" fontId="11" fillId="0" borderId="2" xfId="1" applyFont="1" applyBorder="1" applyAlignment="1">
      <alignment horizontal="center" vertical="center"/>
    </xf>
    <xf numFmtId="0" fontId="11" fillId="0" borderId="2" xfId="1" applyFont="1" applyBorder="1" applyAlignment="1">
      <alignment horizontal="center" vertical="center" wrapText="1"/>
    </xf>
    <xf numFmtId="2" fontId="11" fillId="0" borderId="2" xfId="1" applyNumberFormat="1" applyFont="1" applyBorder="1" applyAlignment="1">
      <alignment horizontal="center" vertical="center" wrapText="1"/>
    </xf>
    <xf numFmtId="164" fontId="11" fillId="0" borderId="2" xfId="1" applyNumberFormat="1" applyFont="1" applyBorder="1" applyAlignment="1">
      <alignment horizontal="center" vertical="center" wrapText="1"/>
    </xf>
    <xf numFmtId="164" fontId="11" fillId="0" borderId="2" xfId="1" applyNumberFormat="1" applyFont="1" applyFill="1" applyBorder="1" applyAlignment="1">
      <alignment horizontal="center" vertical="center" wrapText="1"/>
    </xf>
    <xf numFmtId="3" fontId="0" fillId="5" borderId="2" xfId="3" applyNumberFormat="1" applyFont="1" applyFill="1" applyBorder="1" applyAlignment="1">
      <alignment horizontal="center" vertical="center" wrapText="1"/>
    </xf>
    <xf numFmtId="166" fontId="14" fillId="7" borderId="3" xfId="3" applyFont="1" applyFill="1" applyBorder="1" applyAlignment="1">
      <alignment horizontal="center" vertical="center"/>
    </xf>
    <xf numFmtId="3" fontId="0" fillId="0" borderId="0" xfId="3" applyNumberFormat="1" applyFont="1" applyAlignment="1">
      <alignment horizontal="center" vertical="center" wrapText="1"/>
    </xf>
    <xf numFmtId="9" fontId="15" fillId="0" borderId="0" xfId="2" applyAlignment="1">
      <alignment horizontal="center" vertical="center" wrapText="1"/>
    </xf>
    <xf numFmtId="165" fontId="12" fillId="0" borderId="2" xfId="1" applyNumberFormat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166" fontId="14" fillId="7" borderId="10" xfId="3" applyFont="1" applyFill="1" applyBorder="1" applyAlignment="1">
      <alignment horizontal="center" vertical="center"/>
    </xf>
    <xf numFmtId="0" fontId="5" fillId="0" borderId="0" xfId="7"/>
    <xf numFmtId="0" fontId="5" fillId="0" borderId="0" xfId="7" applyAlignment="1">
      <alignment horizontal="center"/>
    </xf>
    <xf numFmtId="0" fontId="19" fillId="0" borderId="0" xfId="8" applyFont="1" applyBorder="1" applyAlignment="1">
      <alignment horizontal="center" textRotation="90"/>
    </xf>
    <xf numFmtId="0" fontId="5" fillId="8" borderId="2" xfId="7" applyFill="1" applyBorder="1" applyAlignment="1">
      <alignment horizontal="center" vertical="center"/>
    </xf>
    <xf numFmtId="0" fontId="17" fillId="9" borderId="2" xfId="7" applyFont="1" applyFill="1" applyBorder="1" applyAlignment="1">
      <alignment horizontal="center" vertical="center" wrapText="1"/>
    </xf>
    <xf numFmtId="21" fontId="17" fillId="8" borderId="2" xfId="7" applyNumberFormat="1" applyFont="1" applyFill="1" applyBorder="1" applyAlignment="1">
      <alignment horizontal="center" vertical="center" textRotation="90"/>
    </xf>
    <xf numFmtId="0" fontId="5" fillId="0" borderId="0" xfId="7" applyAlignment="1">
      <alignment vertical="center"/>
    </xf>
    <xf numFmtId="0" fontId="5" fillId="0" borderId="2" xfId="7" applyBorder="1" applyAlignment="1">
      <alignment horizontal="center"/>
    </xf>
    <xf numFmtId="20" fontId="5" fillId="0" borderId="2" xfId="7" applyNumberFormat="1" applyBorder="1" applyAlignment="1">
      <alignment horizontal="center"/>
    </xf>
    <xf numFmtId="0" fontId="5" fillId="0" borderId="0" xfId="7" applyFill="1" applyBorder="1" applyAlignment="1">
      <alignment horizontal="center"/>
    </xf>
    <xf numFmtId="0" fontId="5" fillId="3" borderId="2" xfId="7" applyFill="1" applyBorder="1" applyAlignment="1">
      <alignment horizontal="center" vertical="center" textRotation="90"/>
    </xf>
    <xf numFmtId="0" fontId="5" fillId="3" borderId="2" xfId="7" applyFill="1" applyBorder="1" applyAlignment="1">
      <alignment horizontal="center" vertical="center" textRotation="90" wrapText="1"/>
    </xf>
    <xf numFmtId="0" fontId="5" fillId="8" borderId="2" xfId="7" applyFill="1" applyBorder="1" applyAlignment="1">
      <alignment horizontal="center" vertical="center" textRotation="90"/>
    </xf>
    <xf numFmtId="0" fontId="17" fillId="0" borderId="2" xfId="7" applyFont="1" applyBorder="1" applyAlignment="1">
      <alignment horizontal="center" vertical="center"/>
    </xf>
    <xf numFmtId="0" fontId="5" fillId="0" borderId="2" xfId="7" applyBorder="1" applyAlignment="1">
      <alignment horizontal="center" vertical="center"/>
    </xf>
    <xf numFmtId="0" fontId="17" fillId="0" borderId="2" xfId="7" applyFont="1" applyBorder="1" applyAlignment="1" applyProtection="1">
      <alignment horizontal="center" vertical="center"/>
      <protection hidden="1"/>
    </xf>
    <xf numFmtId="0" fontId="17" fillId="0" borderId="0" xfId="7" applyFont="1" applyAlignment="1">
      <alignment horizontal="center" vertical="center"/>
    </xf>
    <xf numFmtId="0" fontId="5" fillId="0" borderId="0" xfId="7" applyAlignment="1">
      <alignment horizontal="center" vertical="center"/>
    </xf>
    <xf numFmtId="168" fontId="7" fillId="0" borderId="0" xfId="3" applyNumberFormat="1" applyFont="1" applyAlignment="1">
      <alignment horizontal="center" vertical="center" wrapText="1"/>
    </xf>
    <xf numFmtId="3" fontId="7" fillId="0" borderId="0" xfId="3" applyNumberFormat="1" applyFont="1" applyAlignment="1">
      <alignment horizontal="center" vertical="center" wrapText="1"/>
    </xf>
    <xf numFmtId="0" fontId="17" fillId="0" borderId="2" xfId="7" applyFont="1" applyBorder="1" applyAlignment="1">
      <alignment horizontal="center" vertical="center"/>
    </xf>
    <xf numFmtId="2" fontId="15" fillId="6" borderId="2" xfId="6" applyNumberFormat="1" applyFill="1" applyBorder="1" applyAlignment="1">
      <alignment horizontal="center"/>
    </xf>
    <xf numFmtId="1" fontId="0" fillId="6" borderId="2" xfId="6" applyNumberFormat="1" applyFont="1" applyFill="1" applyBorder="1" applyAlignment="1">
      <alignment horizontal="center"/>
    </xf>
    <xf numFmtId="0" fontId="4" fillId="3" borderId="2" xfId="7" applyFont="1" applyFill="1" applyBorder="1" applyAlignment="1">
      <alignment horizontal="center" vertical="center" textRotation="90"/>
    </xf>
    <xf numFmtId="0" fontId="4" fillId="8" borderId="2" xfId="7" applyFont="1" applyFill="1" applyBorder="1" applyAlignment="1">
      <alignment horizontal="center" vertical="center" wrapText="1"/>
    </xf>
    <xf numFmtId="164" fontId="5" fillId="0" borderId="2" xfId="7" applyNumberFormat="1" applyBorder="1" applyAlignment="1">
      <alignment horizontal="center"/>
    </xf>
    <xf numFmtId="0" fontId="17" fillId="0" borderId="2" xfId="7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 wrapText="1"/>
    </xf>
    <xf numFmtId="0" fontId="11" fillId="0" borderId="6" xfId="1" applyFont="1" applyBorder="1" applyAlignment="1">
      <alignment horizontal="center" vertical="center" wrapText="1"/>
    </xf>
    <xf numFmtId="0" fontId="11" fillId="0" borderId="8" xfId="1" applyFont="1" applyBorder="1" applyAlignment="1">
      <alignment horizontal="center" vertical="center" wrapText="1"/>
    </xf>
    <xf numFmtId="0" fontId="11" fillId="0" borderId="7" xfId="1" applyFont="1" applyBorder="1" applyAlignment="1">
      <alignment horizontal="center" vertical="center" wrapText="1"/>
    </xf>
    <xf numFmtId="0" fontId="11" fillId="0" borderId="9" xfId="1" applyFont="1" applyBorder="1" applyAlignment="1">
      <alignment horizontal="center" vertical="center" wrapText="1"/>
    </xf>
    <xf numFmtId="164" fontId="5" fillId="10" borderId="2" xfId="7" applyNumberFormat="1" applyFill="1" applyBorder="1" applyAlignment="1">
      <alignment horizontal="center"/>
    </xf>
    <xf numFmtId="0" fontId="3" fillId="0" borderId="0" xfId="7" applyFont="1"/>
    <xf numFmtId="0" fontId="5" fillId="0" borderId="2" xfId="7" applyBorder="1" applyAlignment="1">
      <alignment horizontal="left"/>
    </xf>
    <xf numFmtId="168" fontId="16" fillId="4" borderId="2" xfId="4" applyNumberFormat="1" applyFont="1" applyFill="1" applyBorder="1" applyAlignment="1">
      <alignment horizontal="center" vertical="center"/>
    </xf>
    <xf numFmtId="168" fontId="5" fillId="0" borderId="2" xfId="7" applyNumberFormat="1" applyBorder="1" applyAlignment="1">
      <alignment horizontal="center"/>
    </xf>
    <xf numFmtId="3" fontId="7" fillId="0" borderId="0" xfId="3" applyNumberFormat="1" applyFont="1" applyAlignment="1">
      <alignment vertical="center" wrapText="1"/>
    </xf>
    <xf numFmtId="0" fontId="20" fillId="0" borderId="0" xfId="7" applyFont="1"/>
    <xf numFmtId="0" fontId="21" fillId="0" borderId="2" xfId="7" applyFont="1" applyBorder="1" applyAlignment="1" applyProtection="1">
      <alignment horizontal="center" vertical="center"/>
      <protection hidden="1"/>
    </xf>
    <xf numFmtId="0" fontId="2" fillId="8" borderId="2" xfId="7" applyFont="1" applyFill="1" applyBorder="1" applyAlignment="1">
      <alignment horizontal="center" vertical="center"/>
    </xf>
    <xf numFmtId="2" fontId="0" fillId="0" borderId="0" xfId="3" applyNumberFormat="1" applyFont="1" applyAlignment="1">
      <alignment horizontal="center" vertical="center" wrapText="1"/>
    </xf>
    <xf numFmtId="2" fontId="5" fillId="0" borderId="0" xfId="7" applyNumberFormat="1"/>
    <xf numFmtId="2" fontId="0" fillId="5" borderId="2" xfId="3" applyNumberFormat="1" applyFont="1" applyFill="1" applyBorder="1" applyAlignment="1">
      <alignment horizontal="center" vertical="center" wrapText="1"/>
    </xf>
    <xf numFmtId="2" fontId="5" fillId="8" borderId="2" xfId="7" applyNumberFormat="1" applyFill="1" applyBorder="1" applyAlignment="1">
      <alignment horizontal="center" vertical="center"/>
    </xf>
    <xf numFmtId="1" fontId="7" fillId="0" borderId="0" xfId="3" applyNumberFormat="1" applyFont="1" applyAlignment="1">
      <alignment horizontal="center" vertical="center" wrapText="1"/>
    </xf>
    <xf numFmtId="0" fontId="17" fillId="0" borderId="2" xfId="7" applyFont="1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0" fillId="0" borderId="0" xfId="1" applyFont="1" applyAlignment="1">
      <alignment horizontal="left" vertical="center"/>
    </xf>
  </cellXfs>
  <cellStyles count="11">
    <cellStyle name="Обычный" xfId="0" builtinId="0"/>
    <cellStyle name="Обычный 2" xfId="1"/>
    <cellStyle name="Обычный 2 2" xfId="8"/>
    <cellStyle name="Обычный 3" xfId="3"/>
    <cellStyle name="Обычный 4" xfId="6"/>
    <cellStyle name="Обычный 5" xfId="7"/>
    <cellStyle name="Обычный 7 2" xfId="4"/>
    <cellStyle name="Обычный 7 2 2" xfId="9"/>
    <cellStyle name="Процентный" xfId="2" builtinId="5"/>
    <cellStyle name="Финансовый 3" xfId="5"/>
    <cellStyle name="Финансовый 3 2" xfId="10"/>
  </cellStyles>
  <dxfs count="15"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fgColor theme="0"/>
        </patternFill>
      </fill>
    </dxf>
  </dxfs>
  <tableStyles count="0" defaultTableStyle="TableStyleMedium2" defaultPivotStyle="PivotStyleMedium9"/>
  <colors>
    <mruColors>
      <color rgb="FFF8FB75"/>
      <color rgb="FF66FF66"/>
      <color rgb="FF009900"/>
      <color rgb="FF663300"/>
      <color rgb="FF339933"/>
      <color rgb="FF0066FF"/>
      <color rgb="FFA50021"/>
      <color rgb="FFFF3300"/>
      <color rgb="FF3399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12</xdr:col>
          <xdr:colOff>28575</xdr:colOff>
          <xdr:row>3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ru-RU" sz="2400" b="0" i="0" u="none" strike="noStrike" baseline="0">
                  <a:solidFill>
                    <a:srgbClr val="000000"/>
                  </a:solidFill>
                  <a:latin typeface="Calibri"/>
                </a:rPr>
                <a:t>Планирование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40;&#1085;&#1090;&#1086;&#1085;%20&#1051;&#1072;&#1084;&#1073;&#1077;&#1088;&#1086;&#1074;\Desktop\ai61%20&#1059;&#1055;&#1055;&#1057;&#1055;%20v.65%20&#1086;&#1090;%2002.03.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Черновик"/>
      <sheetName val="Лист1"/>
      <sheetName val="Портфель"/>
      <sheetName val="Проект"/>
      <sheetName val="Пр.2"/>
      <sheetName val="Бюджет c твердыми объемами"/>
      <sheetName val="Цена"/>
      <sheetName val="Буфер"/>
      <sheetName val="Закупки"/>
      <sheetName val="ПП"/>
      <sheetName val="2.4.1"/>
      <sheetName val="ФР"/>
      <sheetName val="Лист2"/>
      <sheetName val="2016"/>
      <sheetName val="2015"/>
      <sheetName val="2.1.1"/>
      <sheetName val="2.2.1"/>
      <sheetName val="2.2.2"/>
      <sheetName val="2.3.1"/>
      <sheetName val="2.3.2"/>
      <sheetName val="2.4.2"/>
      <sheetName val="2.4.3"/>
      <sheetName val="2.4.4"/>
      <sheetName val="2.4.5"/>
      <sheetName val="2.4.6"/>
      <sheetName val="2.5.1"/>
      <sheetName val="2.5.2"/>
      <sheetName val="2.5.3"/>
      <sheetName val="2.5.4"/>
      <sheetName val="3.1.1"/>
      <sheetName val="3.1.2"/>
      <sheetName val="3.1.3"/>
      <sheetName val="3.1.4"/>
      <sheetName val="3.1.5"/>
      <sheetName val="3.2.1"/>
      <sheetName val="3.2.2"/>
      <sheetName val="3.2.3"/>
      <sheetName val="3.2.4"/>
      <sheetName val="3.2.5"/>
      <sheetName val="3.2.6"/>
      <sheetName val="3.2.7"/>
      <sheetName val="3.2.8"/>
      <sheetName val="3.2.9"/>
      <sheetName val="3.2.10"/>
      <sheetName val="3.2.11"/>
      <sheetName val="3.2.12"/>
      <sheetName val="3.2.13"/>
      <sheetName val="3.3.1"/>
      <sheetName val="3.3.2"/>
      <sheetName val="3.3.3"/>
      <sheetName val="3.3.4"/>
      <sheetName val="3.3.5"/>
      <sheetName val="3.3.6"/>
      <sheetName val="3.3.7"/>
      <sheetName val="3.3.8"/>
      <sheetName val="3.3.9"/>
      <sheetName val="3.3.10"/>
      <sheetName val="3.3.11"/>
      <sheetName val="3.3.12"/>
      <sheetName val="3.3.13"/>
      <sheetName val="3.3.14"/>
      <sheetName val="3.3.15"/>
      <sheetName val="3.3.16"/>
      <sheetName val="3.3.18"/>
      <sheetName val="3.3.19"/>
      <sheetName val="3.3.17"/>
      <sheetName val="3.3.20"/>
      <sheetName val="3.4.1"/>
      <sheetName val="3.4.2"/>
      <sheetName val="3.4.3"/>
      <sheetName val="3.4.4"/>
      <sheetName val="3.4.5"/>
      <sheetName val="3.4.6"/>
      <sheetName val="3.5"/>
      <sheetName val="4"/>
      <sheetName val="6.1"/>
      <sheetName val="6.2"/>
      <sheetName val="6.3"/>
      <sheetName val="6.4"/>
      <sheetName val="Options"/>
      <sheetName val="Language"/>
    </sheetNames>
    <sheetDataSet>
      <sheetData sheetId="0" refreshError="1"/>
      <sheetData sheetId="1" refreshError="1"/>
      <sheetData sheetId="2">
        <row r="28">
          <cell r="A28" t="str">
            <v>Периоды осуществления проектов</v>
          </cell>
        </row>
      </sheetData>
      <sheetData sheetId="3">
        <row r="77">
          <cell r="B77">
            <v>1</v>
          </cell>
        </row>
      </sheetData>
      <sheetData sheetId="4">
        <row r="80">
          <cell r="H80">
            <v>3.7500000000000006E-2</v>
          </cell>
        </row>
      </sheetData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>
        <row r="5">
          <cell r="B5" t="str">
            <v>6.1</v>
          </cell>
        </row>
        <row r="7">
          <cell r="B7" t="b">
            <v>0</v>
          </cell>
        </row>
        <row r="8">
          <cell r="B8" t="b">
            <v>0</v>
          </cell>
        </row>
        <row r="10">
          <cell r="B10" t="b">
            <v>1</v>
          </cell>
        </row>
        <row r="11">
          <cell r="B11" t="b">
            <v>0</v>
          </cell>
        </row>
      </sheetData>
      <sheetData sheetId="80">
        <row r="2">
          <cell r="A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CA143"/>
  <sheetViews>
    <sheetView tabSelected="1" topLeftCell="A3" zoomScale="70" zoomScaleNormal="70" workbookViewId="0">
      <selection activeCell="Q12" sqref="Q12"/>
    </sheetView>
  </sheetViews>
  <sheetFormatPr defaultRowHeight="15" outlineLevelCol="1" x14ac:dyDescent="0.25"/>
  <cols>
    <col min="1" max="1" width="5" style="28" customWidth="1"/>
    <col min="2" max="2" width="48" style="28" customWidth="1"/>
    <col min="3" max="3" width="11.85546875" style="28" customWidth="1"/>
    <col min="4" max="4" width="10.85546875" style="28" customWidth="1"/>
    <col min="5" max="5" width="19.28515625" style="28" customWidth="1" outlineLevel="1"/>
    <col min="6" max="6" width="15.5703125" style="70" customWidth="1"/>
    <col min="7" max="7" width="22.85546875" style="28" customWidth="1" outlineLevel="1"/>
    <col min="8" max="8" width="8.140625" style="28" customWidth="1"/>
    <col min="9" max="9" width="8.42578125" style="28" customWidth="1"/>
    <col min="10" max="11" width="4.85546875" style="28" customWidth="1"/>
    <col min="12" max="13" width="6.140625" style="28" customWidth="1"/>
    <col min="14" max="15" width="8.28515625" style="28" customWidth="1"/>
    <col min="16" max="17" width="8.28515625" style="29" customWidth="1"/>
    <col min="18" max="26" width="7.42578125" style="44" customWidth="1"/>
    <col min="27" max="38" width="7.42578125" style="45" customWidth="1"/>
    <col min="39" max="79" width="4.7109375" style="45" customWidth="1"/>
    <col min="80" max="16384" width="9.140625" style="28"/>
  </cols>
  <sheetData>
    <row r="1" spans="1:79" ht="26.25" x14ac:dyDescent="0.25">
      <c r="B1" s="65"/>
      <c r="C1" s="65"/>
      <c r="D1" s="65"/>
      <c r="E1" s="11" t="s">
        <v>65</v>
      </c>
      <c r="F1" s="69" t="s">
        <v>74</v>
      </c>
      <c r="G1" s="23" t="s">
        <v>68</v>
      </c>
    </row>
    <row r="2" spans="1:79" ht="26.25" x14ac:dyDescent="0.25">
      <c r="B2" s="6"/>
      <c r="C2" s="6"/>
      <c r="D2" s="6"/>
      <c r="E2" s="22" t="s">
        <v>66</v>
      </c>
      <c r="F2" s="73">
        <f>$C$6-SUMIF($G$12:$G$54,E2,$H$12:$H$54)</f>
        <v>57.363416849576879</v>
      </c>
      <c r="G2" s="24">
        <f>SUMIF($G$12:$G$54,E2,$H$12:$H$54)/$C$6</f>
        <v>0.91433181474077529</v>
      </c>
    </row>
    <row r="3" spans="1:79" ht="26.25" x14ac:dyDescent="0.25">
      <c r="B3" s="47" t="s">
        <v>70</v>
      </c>
      <c r="C3" s="47">
        <v>31</v>
      </c>
      <c r="D3" s="47"/>
      <c r="E3" s="22" t="s">
        <v>55</v>
      </c>
      <c r="F3" s="73">
        <f>$C$6-SUMIF($G$12:$G$54,E3,$H$12:$H$54)</f>
        <v>142.67993170228738</v>
      </c>
      <c r="G3" s="24">
        <f>SUMIF($G$12:$G$54,E3,$H$12:$H$54)/$C$6</f>
        <v>0.78691766472179303</v>
      </c>
    </row>
    <row r="4" spans="1:79" ht="26.25" x14ac:dyDescent="0.25">
      <c r="B4" s="47" t="s">
        <v>71</v>
      </c>
      <c r="C4" s="47">
        <v>24</v>
      </c>
      <c r="D4" s="47"/>
      <c r="E4" s="22" t="s">
        <v>56</v>
      </c>
      <c r="F4" s="73">
        <f>$C$6-SUMIF($G$12:$G$54,E4,$H$12:$H$54)</f>
        <v>91.982329660588789</v>
      </c>
      <c r="G4" s="24">
        <f>SUMIF($G$12:$G$54,E4,$H$12:$H$54)/$C$6</f>
        <v>0.86263092941967023</v>
      </c>
    </row>
    <row r="5" spans="1:79" ht="26.25" x14ac:dyDescent="0.25">
      <c r="B5" s="47" t="s">
        <v>67</v>
      </c>
      <c r="C5" s="46">
        <v>0.9</v>
      </c>
      <c r="D5" s="46"/>
      <c r="E5" s="22" t="s">
        <v>73</v>
      </c>
      <c r="F5" s="73">
        <f>$C$6-SUMIF($G$12:$G$54,E5,$H$12:$H$54)</f>
        <v>669.6</v>
      </c>
      <c r="G5" s="24">
        <f>SUMIF($G$12:$G$54,E5,$H$12:$H$54)/$C$6</f>
        <v>0</v>
      </c>
    </row>
    <row r="6" spans="1:79" ht="27" thickBot="1" x14ac:dyDescent="0.3">
      <c r="B6" s="47" t="s">
        <v>72</v>
      </c>
      <c r="C6" s="47">
        <f>C3*C4*C5</f>
        <v>669.6</v>
      </c>
      <c r="D6" s="47"/>
      <c r="E6" s="27" t="s">
        <v>73</v>
      </c>
      <c r="F6" s="73">
        <f>$C$6-SUMIF($G$12:$G$54,E6,$H$12:$H$54)</f>
        <v>669.6</v>
      </c>
      <c r="G6" s="24">
        <f>SUMIF($G$12:$G$54,E6,$H$12:$H$54)/$C$6</f>
        <v>0</v>
      </c>
    </row>
    <row r="8" spans="1:79" ht="21" x14ac:dyDescent="0.35">
      <c r="B8" s="66" t="s">
        <v>94</v>
      </c>
      <c r="C8" s="66"/>
      <c r="D8" s="66"/>
      <c r="R8" s="74">
        <v>1</v>
      </c>
      <c r="S8" s="74"/>
      <c r="T8" s="74">
        <v>2</v>
      </c>
      <c r="U8" s="74"/>
      <c r="V8" s="74">
        <v>3</v>
      </c>
      <c r="W8" s="74"/>
      <c r="X8" s="74">
        <v>4</v>
      </c>
      <c r="Y8" s="74"/>
      <c r="Z8" s="74">
        <v>5</v>
      </c>
      <c r="AA8" s="74"/>
      <c r="AB8" s="74">
        <v>6</v>
      </c>
      <c r="AC8" s="74"/>
      <c r="AD8" s="74">
        <v>7</v>
      </c>
      <c r="AE8" s="74"/>
      <c r="AF8" s="74">
        <v>8</v>
      </c>
      <c r="AG8" s="74"/>
      <c r="AH8" s="74">
        <v>9</v>
      </c>
      <c r="AI8" s="74"/>
      <c r="AJ8" s="74">
        <v>10</v>
      </c>
      <c r="AK8" s="74"/>
      <c r="AL8" s="74">
        <v>11</v>
      </c>
      <c r="AM8" s="74"/>
      <c r="AN8" s="74">
        <v>12</v>
      </c>
      <c r="AO8" s="74"/>
      <c r="AP8" s="74">
        <v>13</v>
      </c>
      <c r="AQ8" s="74"/>
      <c r="AR8" s="74">
        <v>14</v>
      </c>
      <c r="AS8" s="74"/>
      <c r="AT8" s="74">
        <v>15</v>
      </c>
      <c r="AU8" s="74"/>
      <c r="AV8" s="74">
        <v>16</v>
      </c>
      <c r="AW8" s="74"/>
      <c r="AX8" s="74">
        <v>17</v>
      </c>
      <c r="AY8" s="74"/>
      <c r="AZ8" s="74">
        <v>18</v>
      </c>
      <c r="BA8" s="74"/>
      <c r="BB8" s="74">
        <v>19</v>
      </c>
      <c r="BC8" s="74"/>
      <c r="BD8" s="74">
        <v>20</v>
      </c>
      <c r="BE8" s="74"/>
      <c r="BF8" s="74">
        <v>21</v>
      </c>
      <c r="BG8" s="74"/>
      <c r="BH8" s="74">
        <v>22</v>
      </c>
      <c r="BI8" s="74"/>
      <c r="BJ8" s="74">
        <v>23</v>
      </c>
      <c r="BK8" s="74"/>
      <c r="BL8" s="74">
        <v>24</v>
      </c>
      <c r="BM8" s="74"/>
      <c r="BN8" s="74">
        <v>25</v>
      </c>
      <c r="BO8" s="74"/>
      <c r="BP8" s="74">
        <v>26</v>
      </c>
      <c r="BQ8" s="74"/>
      <c r="BR8" s="74">
        <v>27</v>
      </c>
      <c r="BS8" s="74"/>
      <c r="BT8" s="74">
        <v>28</v>
      </c>
      <c r="BU8" s="74"/>
      <c r="BV8" s="74">
        <v>29</v>
      </c>
      <c r="BW8" s="74"/>
      <c r="BX8" s="74">
        <v>30</v>
      </c>
      <c r="BY8" s="74"/>
      <c r="BZ8" s="74">
        <v>31</v>
      </c>
      <c r="CA8" s="74"/>
    </row>
    <row r="9" spans="1:79" x14ac:dyDescent="0.25">
      <c r="J9" s="30"/>
      <c r="K9" s="30"/>
      <c r="L9" s="30"/>
      <c r="M9" s="30"/>
      <c r="N9" s="30"/>
      <c r="O9" s="30"/>
      <c r="R9" s="41" t="s">
        <v>81</v>
      </c>
      <c r="S9" s="41" t="s">
        <v>82</v>
      </c>
      <c r="T9" s="41" t="s">
        <v>83</v>
      </c>
      <c r="U9" s="41" t="s">
        <v>81</v>
      </c>
      <c r="V9" s="41" t="s">
        <v>82</v>
      </c>
      <c r="W9" s="41" t="s">
        <v>83</v>
      </c>
      <c r="X9" s="41" t="s">
        <v>81</v>
      </c>
      <c r="Y9" s="41" t="s">
        <v>82</v>
      </c>
      <c r="Z9" s="41" t="s">
        <v>83</v>
      </c>
      <c r="AA9" s="41" t="s">
        <v>81</v>
      </c>
      <c r="AB9" s="41" t="s">
        <v>82</v>
      </c>
      <c r="AC9" s="41" t="s">
        <v>83</v>
      </c>
      <c r="AD9" s="41" t="s">
        <v>81</v>
      </c>
      <c r="AE9" s="41" t="s">
        <v>82</v>
      </c>
      <c r="AF9" s="41" t="s">
        <v>83</v>
      </c>
      <c r="AG9" s="41" t="s">
        <v>81</v>
      </c>
      <c r="AH9" s="41" t="s">
        <v>82</v>
      </c>
      <c r="AI9" s="41" t="s">
        <v>83</v>
      </c>
      <c r="AJ9" s="41" t="s">
        <v>81</v>
      </c>
      <c r="AK9" s="41" t="s">
        <v>82</v>
      </c>
      <c r="AL9" s="41" t="s">
        <v>83</v>
      </c>
      <c r="AM9" s="41" t="s">
        <v>81</v>
      </c>
      <c r="AN9" s="41" t="s">
        <v>82</v>
      </c>
      <c r="AO9" s="41" t="s">
        <v>83</v>
      </c>
      <c r="AP9" s="41" t="s">
        <v>81</v>
      </c>
      <c r="AQ9" s="41" t="s">
        <v>82</v>
      </c>
      <c r="AR9" s="41" t="s">
        <v>83</v>
      </c>
      <c r="AS9" s="41" t="s">
        <v>81</v>
      </c>
      <c r="AT9" s="41" t="s">
        <v>82</v>
      </c>
      <c r="AU9" s="41" t="s">
        <v>83</v>
      </c>
      <c r="AV9" s="41" t="s">
        <v>81</v>
      </c>
      <c r="AW9" s="41" t="s">
        <v>82</v>
      </c>
      <c r="AX9" s="41" t="s">
        <v>83</v>
      </c>
      <c r="AY9" s="41" t="s">
        <v>81</v>
      </c>
      <c r="AZ9" s="41" t="s">
        <v>82</v>
      </c>
      <c r="BA9" s="41" t="s">
        <v>83</v>
      </c>
      <c r="BB9" s="41" t="s">
        <v>81</v>
      </c>
      <c r="BC9" s="41" t="s">
        <v>82</v>
      </c>
      <c r="BD9" s="41" t="s">
        <v>83</v>
      </c>
      <c r="BE9" s="41" t="s">
        <v>81</v>
      </c>
      <c r="BF9" s="41" t="s">
        <v>82</v>
      </c>
      <c r="BG9" s="41" t="s">
        <v>83</v>
      </c>
      <c r="BH9" s="41" t="s">
        <v>81</v>
      </c>
      <c r="BI9" s="41" t="s">
        <v>82</v>
      </c>
      <c r="BJ9" s="41" t="s">
        <v>83</v>
      </c>
      <c r="BK9" s="41" t="s">
        <v>81</v>
      </c>
      <c r="BL9" s="41" t="s">
        <v>82</v>
      </c>
      <c r="BM9" s="41" t="s">
        <v>83</v>
      </c>
      <c r="BN9" s="48" t="s">
        <v>81</v>
      </c>
      <c r="BO9" s="48" t="s">
        <v>82</v>
      </c>
      <c r="BP9" s="48" t="s">
        <v>83</v>
      </c>
      <c r="BQ9" s="48" t="s">
        <v>81</v>
      </c>
      <c r="BR9" s="48" t="s">
        <v>82</v>
      </c>
      <c r="BS9" s="48" t="s">
        <v>83</v>
      </c>
      <c r="BT9" s="48" t="s">
        <v>81</v>
      </c>
      <c r="BU9" s="48" t="s">
        <v>82</v>
      </c>
      <c r="BV9" s="48" t="s">
        <v>83</v>
      </c>
      <c r="BW9" s="48" t="s">
        <v>81</v>
      </c>
      <c r="BX9" s="48" t="s">
        <v>82</v>
      </c>
      <c r="BY9" s="48" t="s">
        <v>83</v>
      </c>
      <c r="BZ9" s="48" t="s">
        <v>82</v>
      </c>
      <c r="CA9" s="48" t="s">
        <v>83</v>
      </c>
    </row>
    <row r="10" spans="1:79" s="34" customFormat="1" ht="116.25" customHeight="1" x14ac:dyDescent="0.25">
      <c r="A10" s="31" t="s">
        <v>76</v>
      </c>
      <c r="B10" s="31" t="s">
        <v>77</v>
      </c>
      <c r="C10" s="68" t="s">
        <v>97</v>
      </c>
      <c r="D10" s="68" t="s">
        <v>98</v>
      </c>
      <c r="E10" s="21" t="s">
        <v>69</v>
      </c>
      <c r="F10" s="71" t="s">
        <v>95</v>
      </c>
      <c r="G10" s="21" t="s">
        <v>54</v>
      </c>
      <c r="H10" s="21" t="s">
        <v>96</v>
      </c>
      <c r="I10" s="52" t="s">
        <v>89</v>
      </c>
      <c r="J10" s="38" t="s">
        <v>84</v>
      </c>
      <c r="K10" s="51" t="s">
        <v>88</v>
      </c>
      <c r="L10" s="38" t="s">
        <v>85</v>
      </c>
      <c r="M10" s="39" t="s">
        <v>86</v>
      </c>
      <c r="N10" s="32" t="s">
        <v>78</v>
      </c>
      <c r="O10" s="32" t="s">
        <v>79</v>
      </c>
      <c r="P10" s="32" t="s">
        <v>87</v>
      </c>
      <c r="Q10" s="31" t="s">
        <v>80</v>
      </c>
      <c r="R10" s="42">
        <v>0</v>
      </c>
      <c r="S10" s="42">
        <v>12</v>
      </c>
      <c r="T10" s="42">
        <v>24</v>
      </c>
      <c r="U10" s="42">
        <v>36</v>
      </c>
      <c r="V10" s="42">
        <v>48</v>
      </c>
      <c r="W10" s="42">
        <v>60</v>
      </c>
      <c r="X10" s="42">
        <v>72</v>
      </c>
      <c r="Y10" s="42">
        <v>84</v>
      </c>
      <c r="Z10" s="42">
        <v>96</v>
      </c>
      <c r="AA10" s="42">
        <v>108</v>
      </c>
      <c r="AB10" s="42">
        <v>120</v>
      </c>
      <c r="AC10" s="42">
        <v>132</v>
      </c>
      <c r="AD10" s="42">
        <v>144</v>
      </c>
      <c r="AE10" s="42">
        <v>156</v>
      </c>
      <c r="AF10" s="42">
        <v>168</v>
      </c>
      <c r="AG10" s="42">
        <v>180</v>
      </c>
      <c r="AH10" s="42">
        <v>192</v>
      </c>
      <c r="AI10" s="42">
        <v>204</v>
      </c>
      <c r="AJ10" s="42">
        <v>216</v>
      </c>
      <c r="AK10" s="42">
        <v>228</v>
      </c>
      <c r="AL10" s="42">
        <v>240</v>
      </c>
      <c r="AM10" s="42">
        <v>252</v>
      </c>
      <c r="AN10" s="42">
        <v>264</v>
      </c>
      <c r="AO10" s="42">
        <v>276</v>
      </c>
      <c r="AP10" s="42">
        <v>288</v>
      </c>
      <c r="AQ10" s="42">
        <v>300</v>
      </c>
      <c r="AR10" s="42">
        <v>312</v>
      </c>
      <c r="AS10" s="42">
        <v>324</v>
      </c>
      <c r="AT10" s="42">
        <v>336</v>
      </c>
      <c r="AU10" s="42">
        <v>348</v>
      </c>
      <c r="AV10" s="42">
        <v>360</v>
      </c>
      <c r="AW10" s="42">
        <v>372</v>
      </c>
      <c r="AX10" s="42">
        <v>384</v>
      </c>
      <c r="AY10" s="42">
        <v>396</v>
      </c>
      <c r="AZ10" s="42">
        <v>408</v>
      </c>
      <c r="BA10" s="42">
        <v>420</v>
      </c>
      <c r="BB10" s="42">
        <v>432</v>
      </c>
      <c r="BC10" s="42">
        <v>444</v>
      </c>
      <c r="BD10" s="42">
        <v>456</v>
      </c>
      <c r="BE10" s="42">
        <v>468</v>
      </c>
      <c r="BF10" s="42">
        <v>480</v>
      </c>
      <c r="BG10" s="42">
        <v>492</v>
      </c>
      <c r="BH10" s="42">
        <v>504</v>
      </c>
      <c r="BI10" s="42">
        <v>516</v>
      </c>
      <c r="BJ10" s="42">
        <v>528</v>
      </c>
      <c r="BK10" s="42">
        <v>540</v>
      </c>
      <c r="BL10" s="42">
        <v>552</v>
      </c>
      <c r="BM10" s="42">
        <v>564</v>
      </c>
      <c r="BN10" s="42">
        <v>576</v>
      </c>
      <c r="BO10" s="42">
        <v>588</v>
      </c>
      <c r="BP10" s="42">
        <v>600</v>
      </c>
      <c r="BQ10" s="42">
        <v>612</v>
      </c>
      <c r="BR10" s="42">
        <v>624</v>
      </c>
      <c r="BS10" s="42">
        <v>636</v>
      </c>
      <c r="BT10" s="42">
        <v>648</v>
      </c>
      <c r="BU10" s="42">
        <v>660</v>
      </c>
      <c r="BV10" s="42">
        <v>672</v>
      </c>
      <c r="BW10" s="42">
        <v>684</v>
      </c>
      <c r="BX10" s="42">
        <v>696</v>
      </c>
      <c r="BY10" s="42">
        <v>708</v>
      </c>
      <c r="BZ10" s="42">
        <v>720</v>
      </c>
      <c r="CA10" s="42">
        <v>732</v>
      </c>
    </row>
    <row r="11" spans="1:79" s="34" customFormat="1" ht="18" customHeight="1" x14ac:dyDescent="0.25">
      <c r="A11" s="31"/>
      <c r="B11" s="31"/>
      <c r="C11" s="31"/>
      <c r="D11" s="31"/>
      <c r="E11" s="31"/>
      <c r="F11" s="72"/>
      <c r="G11" s="31"/>
      <c r="H11" s="31"/>
      <c r="I11" s="31"/>
      <c r="J11" s="40"/>
      <c r="K11" s="40"/>
      <c r="L11" s="40"/>
      <c r="M11" s="40"/>
      <c r="N11" s="60">
        <v>0</v>
      </c>
      <c r="O11" s="60">
        <f>N11+M11</f>
        <v>0</v>
      </c>
      <c r="P11" s="60">
        <f>O11-N11</f>
        <v>0</v>
      </c>
      <c r="Q11" s="60">
        <f>P11</f>
        <v>0</v>
      </c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</row>
    <row r="12" spans="1:79" x14ac:dyDescent="0.25">
      <c r="A12" s="35">
        <v>1</v>
      </c>
      <c r="B12" s="8" t="s">
        <v>14</v>
      </c>
      <c r="C12" s="8"/>
      <c r="D12" s="8"/>
      <c r="E12" s="7">
        <v>1018</v>
      </c>
      <c r="F12" s="49">
        <v>9.4639188095386402</v>
      </c>
      <c r="G12" s="5" t="s">
        <v>55</v>
      </c>
      <c r="H12" s="10">
        <f>IFERROR(F12/I12+J12,0)</f>
        <v>21.577319801589773</v>
      </c>
      <c r="I12" s="49">
        <f>VLOOKUP(B12,База!$B$8:$I$52,3,FALSE)*60</f>
        <v>6</v>
      </c>
      <c r="J12" s="35">
        <v>20</v>
      </c>
      <c r="K12" s="35">
        <f>VLOOKUP(B12,База!$B$8:$I$52,6,FALSE)</f>
        <v>12</v>
      </c>
      <c r="L12" s="35">
        <f t="shared" ref="L12:L43" si="0">I12*12</f>
        <v>72</v>
      </c>
      <c r="M12" s="9">
        <f t="shared" ref="M12:M43" si="1">H12</f>
        <v>21.577319801589773</v>
      </c>
      <c r="N12" s="60">
        <v>0</v>
      </c>
      <c r="O12" s="60">
        <f>N12+M12</f>
        <v>21.577319801589773</v>
      </c>
      <c r="P12" s="60">
        <f>O12-N12</f>
        <v>21.577319801589773</v>
      </c>
      <c r="Q12" s="60">
        <f>P12</f>
        <v>21.577319801589773</v>
      </c>
      <c r="R12" s="43">
        <f>IF($Q12&gt;R$10,IF($Q12-$P12&lt;=R$10,$L12,1),0)</f>
        <v>72</v>
      </c>
      <c r="S12" s="43">
        <f t="shared" ref="R12:AA21" si="2">IF($Q12&gt;S$10,IF($Q12-$P12&lt;=S$10,$L12,1),0)</f>
        <v>72</v>
      </c>
      <c r="T12" s="43">
        <f t="shared" si="2"/>
        <v>0</v>
      </c>
      <c r="U12" s="43">
        <f t="shared" si="2"/>
        <v>0</v>
      </c>
      <c r="V12" s="43">
        <f t="shared" si="2"/>
        <v>0</v>
      </c>
      <c r="W12" s="43">
        <f t="shared" si="2"/>
        <v>0</v>
      </c>
      <c r="X12" s="43">
        <f t="shared" si="2"/>
        <v>0</v>
      </c>
      <c r="Y12" s="43">
        <f t="shared" si="2"/>
        <v>0</v>
      </c>
      <c r="Z12" s="43">
        <f t="shared" si="2"/>
        <v>0</v>
      </c>
      <c r="AA12" s="43">
        <f t="shared" si="2"/>
        <v>0</v>
      </c>
      <c r="AB12" s="43">
        <f t="shared" ref="AB12:AK21" si="3">IF($Q12&gt;AB$10,IF($Q12-$P12&lt;=AB$10,$L12,1),0)</f>
        <v>0</v>
      </c>
      <c r="AC12" s="43">
        <f t="shared" si="3"/>
        <v>0</v>
      </c>
      <c r="AD12" s="43">
        <f t="shared" si="3"/>
        <v>0</v>
      </c>
      <c r="AE12" s="43">
        <f t="shared" si="3"/>
        <v>0</v>
      </c>
      <c r="AF12" s="43">
        <f t="shared" si="3"/>
        <v>0</v>
      </c>
      <c r="AG12" s="43">
        <f t="shared" si="3"/>
        <v>0</v>
      </c>
      <c r="AH12" s="43">
        <f t="shared" si="3"/>
        <v>0</v>
      </c>
      <c r="AI12" s="43">
        <f t="shared" si="3"/>
        <v>0</v>
      </c>
      <c r="AJ12" s="43">
        <f t="shared" si="3"/>
        <v>0</v>
      </c>
      <c r="AK12" s="43">
        <f t="shared" si="3"/>
        <v>0</v>
      </c>
      <c r="AL12" s="43">
        <f t="shared" ref="AL12:AU21" si="4">IF($Q12&gt;AL$10,IF($Q12-$P12&lt;=AL$10,$L12,1),0)</f>
        <v>0</v>
      </c>
      <c r="AM12" s="43">
        <f t="shared" si="4"/>
        <v>0</v>
      </c>
      <c r="AN12" s="43">
        <f t="shared" si="4"/>
        <v>0</v>
      </c>
      <c r="AO12" s="43">
        <f t="shared" si="4"/>
        <v>0</v>
      </c>
      <c r="AP12" s="43">
        <f t="shared" si="4"/>
        <v>0</v>
      </c>
      <c r="AQ12" s="43">
        <f t="shared" si="4"/>
        <v>0</v>
      </c>
      <c r="AR12" s="43">
        <f t="shared" si="4"/>
        <v>0</v>
      </c>
      <c r="AS12" s="43">
        <f t="shared" si="4"/>
        <v>0</v>
      </c>
      <c r="AT12" s="43">
        <f t="shared" si="4"/>
        <v>0</v>
      </c>
      <c r="AU12" s="43">
        <f t="shared" si="4"/>
        <v>0</v>
      </c>
      <c r="AV12" s="43">
        <f t="shared" ref="AV12:BE21" si="5">IF($Q12&gt;AV$10,IF($Q12-$P12&lt;=AV$10,$L12,1),0)</f>
        <v>0</v>
      </c>
      <c r="AW12" s="43">
        <f t="shared" si="5"/>
        <v>0</v>
      </c>
      <c r="AX12" s="43">
        <f t="shared" si="5"/>
        <v>0</v>
      </c>
      <c r="AY12" s="43">
        <f t="shared" si="5"/>
        <v>0</v>
      </c>
      <c r="AZ12" s="43">
        <f t="shared" si="5"/>
        <v>0</v>
      </c>
      <c r="BA12" s="43">
        <f t="shared" si="5"/>
        <v>0</v>
      </c>
      <c r="BB12" s="43">
        <f t="shared" si="5"/>
        <v>0</v>
      </c>
      <c r="BC12" s="43">
        <f t="shared" si="5"/>
        <v>0</v>
      </c>
      <c r="BD12" s="43">
        <f t="shared" si="5"/>
        <v>0</v>
      </c>
      <c r="BE12" s="43">
        <f t="shared" si="5"/>
        <v>0</v>
      </c>
      <c r="BF12" s="43">
        <f t="shared" ref="BF12:BO21" si="6">IF($Q12&gt;BF$10,IF($Q12-$P12&lt;=BF$10,$L12,1),0)</f>
        <v>0</v>
      </c>
      <c r="BG12" s="43">
        <f t="shared" si="6"/>
        <v>0</v>
      </c>
      <c r="BH12" s="43">
        <f t="shared" si="6"/>
        <v>0</v>
      </c>
      <c r="BI12" s="43">
        <f t="shared" si="6"/>
        <v>0</v>
      </c>
      <c r="BJ12" s="43">
        <f t="shared" si="6"/>
        <v>0</v>
      </c>
      <c r="BK12" s="43">
        <f t="shared" si="6"/>
        <v>0</v>
      </c>
      <c r="BL12" s="43">
        <f t="shared" si="6"/>
        <v>0</v>
      </c>
      <c r="BM12" s="43">
        <f t="shared" si="6"/>
        <v>0</v>
      </c>
      <c r="BN12" s="43">
        <f t="shared" si="6"/>
        <v>0</v>
      </c>
      <c r="BO12" s="43">
        <f t="shared" si="6"/>
        <v>0</v>
      </c>
      <c r="BP12" s="43">
        <f t="shared" ref="BP12:CA21" si="7">IF($Q12&gt;BP$10,IF($Q12-$P12&lt;=BP$10,$L12,1),0)</f>
        <v>0</v>
      </c>
      <c r="BQ12" s="43">
        <f t="shared" si="7"/>
        <v>0</v>
      </c>
      <c r="BR12" s="43">
        <f t="shared" si="7"/>
        <v>0</v>
      </c>
      <c r="BS12" s="43">
        <f t="shared" si="7"/>
        <v>0</v>
      </c>
      <c r="BT12" s="43">
        <f t="shared" si="7"/>
        <v>0</v>
      </c>
      <c r="BU12" s="43">
        <f t="shared" si="7"/>
        <v>0</v>
      </c>
      <c r="BV12" s="43">
        <f t="shared" si="7"/>
        <v>0</v>
      </c>
      <c r="BW12" s="43">
        <f t="shared" si="7"/>
        <v>0</v>
      </c>
      <c r="BX12" s="43">
        <f t="shared" si="7"/>
        <v>0</v>
      </c>
      <c r="BY12" s="43">
        <f t="shared" si="7"/>
        <v>0</v>
      </c>
      <c r="BZ12" s="43">
        <f t="shared" si="7"/>
        <v>0</v>
      </c>
      <c r="CA12" s="43">
        <f t="shared" si="7"/>
        <v>0</v>
      </c>
    </row>
    <row r="13" spans="1:79" x14ac:dyDescent="0.25">
      <c r="A13" s="35">
        <v>2</v>
      </c>
      <c r="B13" s="8" t="s">
        <v>13</v>
      </c>
      <c r="C13" s="8"/>
      <c r="D13" s="8"/>
      <c r="E13" s="7">
        <v>1018</v>
      </c>
      <c r="F13" s="49">
        <v>69.960748095128181</v>
      </c>
      <c r="G13" s="5" t="s">
        <v>55</v>
      </c>
      <c r="H13" s="10">
        <f t="shared" ref="H13:H76" si="8">IFERROR(F13/I13+J13,0)</f>
        <v>57.773416455014242</v>
      </c>
      <c r="I13" s="49">
        <f>VLOOKUP(B13,База!$B$8:$I$52,3,FALSE)*60</f>
        <v>9</v>
      </c>
      <c r="J13" s="35">
        <v>50</v>
      </c>
      <c r="K13" s="35">
        <f>VLOOKUP(B13,База!$B$8:$I$52,6,FALSE)</f>
        <v>10</v>
      </c>
      <c r="L13" s="35">
        <f t="shared" si="0"/>
        <v>108</v>
      </c>
      <c r="M13" s="9">
        <f t="shared" si="1"/>
        <v>57.773416455014242</v>
      </c>
      <c r="N13" s="53">
        <f>Q12</f>
        <v>21.577319801589773</v>
      </c>
      <c r="O13" s="53">
        <f>N13+M13</f>
        <v>79.350736256604023</v>
      </c>
      <c r="P13" s="53">
        <f>O13-N13</f>
        <v>57.773416455014249</v>
      </c>
      <c r="Q13" s="53">
        <f>Q12+P13</f>
        <v>79.350736256604023</v>
      </c>
      <c r="R13" s="43">
        <f t="shared" si="2"/>
        <v>1</v>
      </c>
      <c r="S13" s="43">
        <f t="shared" si="2"/>
        <v>1</v>
      </c>
      <c r="T13" s="43">
        <f t="shared" si="2"/>
        <v>108</v>
      </c>
      <c r="U13" s="43">
        <f t="shared" si="2"/>
        <v>108</v>
      </c>
      <c r="V13" s="43">
        <f t="shared" si="2"/>
        <v>108</v>
      </c>
      <c r="W13" s="43">
        <f t="shared" si="2"/>
        <v>108</v>
      </c>
      <c r="X13" s="43">
        <f t="shared" si="2"/>
        <v>108</v>
      </c>
      <c r="Y13" s="43">
        <f t="shared" si="2"/>
        <v>0</v>
      </c>
      <c r="Z13" s="43">
        <f t="shared" si="2"/>
        <v>0</v>
      </c>
      <c r="AA13" s="43">
        <f t="shared" si="2"/>
        <v>0</v>
      </c>
      <c r="AB13" s="43">
        <f t="shared" si="3"/>
        <v>0</v>
      </c>
      <c r="AC13" s="43">
        <f t="shared" si="3"/>
        <v>0</v>
      </c>
      <c r="AD13" s="43">
        <f t="shared" si="3"/>
        <v>0</v>
      </c>
      <c r="AE13" s="43">
        <f t="shared" si="3"/>
        <v>0</v>
      </c>
      <c r="AF13" s="43">
        <f t="shared" si="3"/>
        <v>0</v>
      </c>
      <c r="AG13" s="43">
        <f t="shared" si="3"/>
        <v>0</v>
      </c>
      <c r="AH13" s="43">
        <f t="shared" si="3"/>
        <v>0</v>
      </c>
      <c r="AI13" s="43">
        <f t="shared" si="3"/>
        <v>0</v>
      </c>
      <c r="AJ13" s="43">
        <f t="shared" si="3"/>
        <v>0</v>
      </c>
      <c r="AK13" s="43">
        <f t="shared" si="3"/>
        <v>0</v>
      </c>
      <c r="AL13" s="43">
        <f t="shared" si="4"/>
        <v>0</v>
      </c>
      <c r="AM13" s="43">
        <f t="shared" si="4"/>
        <v>0</v>
      </c>
      <c r="AN13" s="43">
        <f t="shared" si="4"/>
        <v>0</v>
      </c>
      <c r="AO13" s="43">
        <f t="shared" si="4"/>
        <v>0</v>
      </c>
      <c r="AP13" s="43">
        <f t="shared" si="4"/>
        <v>0</v>
      </c>
      <c r="AQ13" s="43">
        <f t="shared" si="4"/>
        <v>0</v>
      </c>
      <c r="AR13" s="43">
        <f t="shared" si="4"/>
        <v>0</v>
      </c>
      <c r="AS13" s="43">
        <f t="shared" si="4"/>
        <v>0</v>
      </c>
      <c r="AT13" s="43">
        <f t="shared" si="4"/>
        <v>0</v>
      </c>
      <c r="AU13" s="43">
        <f t="shared" si="4"/>
        <v>0</v>
      </c>
      <c r="AV13" s="43">
        <f t="shared" si="5"/>
        <v>0</v>
      </c>
      <c r="AW13" s="43">
        <f t="shared" si="5"/>
        <v>0</v>
      </c>
      <c r="AX13" s="43">
        <f t="shared" si="5"/>
        <v>0</v>
      </c>
      <c r="AY13" s="43">
        <f t="shared" si="5"/>
        <v>0</v>
      </c>
      <c r="AZ13" s="43">
        <f t="shared" si="5"/>
        <v>0</v>
      </c>
      <c r="BA13" s="43">
        <f t="shared" si="5"/>
        <v>0</v>
      </c>
      <c r="BB13" s="43">
        <f t="shared" si="5"/>
        <v>0</v>
      </c>
      <c r="BC13" s="43">
        <f t="shared" si="5"/>
        <v>0</v>
      </c>
      <c r="BD13" s="43">
        <f t="shared" si="5"/>
        <v>0</v>
      </c>
      <c r="BE13" s="43">
        <f t="shared" si="5"/>
        <v>0</v>
      </c>
      <c r="BF13" s="43">
        <f t="shared" si="6"/>
        <v>0</v>
      </c>
      <c r="BG13" s="43">
        <f t="shared" si="6"/>
        <v>0</v>
      </c>
      <c r="BH13" s="43">
        <f t="shared" si="6"/>
        <v>0</v>
      </c>
      <c r="BI13" s="43">
        <f t="shared" si="6"/>
        <v>0</v>
      </c>
      <c r="BJ13" s="43">
        <f t="shared" si="6"/>
        <v>0</v>
      </c>
      <c r="BK13" s="43">
        <f t="shared" si="6"/>
        <v>0</v>
      </c>
      <c r="BL13" s="43">
        <f t="shared" si="6"/>
        <v>0</v>
      </c>
      <c r="BM13" s="43">
        <f t="shared" si="6"/>
        <v>0</v>
      </c>
      <c r="BN13" s="43">
        <f t="shared" si="6"/>
        <v>0</v>
      </c>
      <c r="BO13" s="43">
        <f t="shared" si="6"/>
        <v>0</v>
      </c>
      <c r="BP13" s="43">
        <f t="shared" si="7"/>
        <v>0</v>
      </c>
      <c r="BQ13" s="43">
        <f t="shared" si="7"/>
        <v>0</v>
      </c>
      <c r="BR13" s="43">
        <f t="shared" si="7"/>
        <v>0</v>
      </c>
      <c r="BS13" s="43">
        <f t="shared" si="7"/>
        <v>0</v>
      </c>
      <c r="BT13" s="43">
        <f t="shared" si="7"/>
        <v>0</v>
      </c>
      <c r="BU13" s="43">
        <f t="shared" si="7"/>
        <v>0</v>
      </c>
      <c r="BV13" s="43">
        <f t="shared" si="7"/>
        <v>0</v>
      </c>
      <c r="BW13" s="43">
        <f t="shared" si="7"/>
        <v>0</v>
      </c>
      <c r="BX13" s="43">
        <f t="shared" si="7"/>
        <v>0</v>
      </c>
      <c r="BY13" s="43">
        <f t="shared" si="7"/>
        <v>0</v>
      </c>
      <c r="BZ13" s="43">
        <f t="shared" si="7"/>
        <v>0</v>
      </c>
      <c r="CA13" s="43">
        <f t="shared" si="7"/>
        <v>0</v>
      </c>
    </row>
    <row r="14" spans="1:79" x14ac:dyDescent="0.25">
      <c r="A14" s="35">
        <v>3</v>
      </c>
      <c r="B14" s="8" t="s">
        <v>30</v>
      </c>
      <c r="C14" s="8"/>
      <c r="D14" s="8"/>
      <c r="E14" s="7">
        <v>1018</v>
      </c>
      <c r="F14" s="49">
        <v>1099.95162</v>
      </c>
      <c r="G14" s="5" t="s">
        <v>55</v>
      </c>
      <c r="H14" s="10">
        <f t="shared" si="8"/>
        <v>62.37864857142857</v>
      </c>
      <c r="I14" s="49">
        <f>VLOOKUP(B14,База!$B$8:$I$52,3,FALSE)*60</f>
        <v>21</v>
      </c>
      <c r="J14" s="35">
        <v>10</v>
      </c>
      <c r="K14" s="35">
        <f>VLOOKUP(B14,База!$B$8:$I$52,6,FALSE)</f>
        <v>2</v>
      </c>
      <c r="L14" s="35">
        <f t="shared" si="0"/>
        <v>252</v>
      </c>
      <c r="M14" s="9">
        <f t="shared" si="1"/>
        <v>62.37864857142857</v>
      </c>
      <c r="N14" s="53">
        <f>Q13</f>
        <v>79.350736256604023</v>
      </c>
      <c r="O14" s="53">
        <f>N14+M14</f>
        <v>141.72938482803261</v>
      </c>
      <c r="P14" s="53">
        <f>O14-N14</f>
        <v>62.378648571428585</v>
      </c>
      <c r="Q14" s="53">
        <f>Q13+P14</f>
        <v>141.72938482803261</v>
      </c>
      <c r="R14" s="43">
        <f t="shared" si="2"/>
        <v>1</v>
      </c>
      <c r="S14" s="43">
        <f t="shared" si="2"/>
        <v>1</v>
      </c>
      <c r="T14" s="43">
        <f t="shared" si="2"/>
        <v>1</v>
      </c>
      <c r="U14" s="43">
        <f t="shared" si="2"/>
        <v>1</v>
      </c>
      <c r="V14" s="43">
        <f t="shared" si="2"/>
        <v>1</v>
      </c>
      <c r="W14" s="43">
        <f t="shared" si="2"/>
        <v>1</v>
      </c>
      <c r="X14" s="43">
        <f t="shared" si="2"/>
        <v>1</v>
      </c>
      <c r="Y14" s="43">
        <f t="shared" si="2"/>
        <v>252</v>
      </c>
      <c r="Z14" s="43">
        <f t="shared" si="2"/>
        <v>252</v>
      </c>
      <c r="AA14" s="43">
        <f t="shared" si="2"/>
        <v>252</v>
      </c>
      <c r="AB14" s="43">
        <f t="shared" si="3"/>
        <v>252</v>
      </c>
      <c r="AC14" s="43">
        <f t="shared" si="3"/>
        <v>252</v>
      </c>
      <c r="AD14" s="43">
        <f t="shared" si="3"/>
        <v>0</v>
      </c>
      <c r="AE14" s="43">
        <f t="shared" si="3"/>
        <v>0</v>
      </c>
      <c r="AF14" s="43">
        <f t="shared" si="3"/>
        <v>0</v>
      </c>
      <c r="AG14" s="43">
        <f t="shared" si="3"/>
        <v>0</v>
      </c>
      <c r="AH14" s="43">
        <f t="shared" si="3"/>
        <v>0</v>
      </c>
      <c r="AI14" s="43">
        <f t="shared" si="3"/>
        <v>0</v>
      </c>
      <c r="AJ14" s="43">
        <f t="shared" si="3"/>
        <v>0</v>
      </c>
      <c r="AK14" s="43">
        <f t="shared" si="3"/>
        <v>0</v>
      </c>
      <c r="AL14" s="43">
        <f t="shared" si="4"/>
        <v>0</v>
      </c>
      <c r="AM14" s="43">
        <f t="shared" si="4"/>
        <v>0</v>
      </c>
      <c r="AN14" s="43">
        <f t="shared" si="4"/>
        <v>0</v>
      </c>
      <c r="AO14" s="43">
        <f t="shared" si="4"/>
        <v>0</v>
      </c>
      <c r="AP14" s="43">
        <f t="shared" si="4"/>
        <v>0</v>
      </c>
      <c r="AQ14" s="43">
        <f t="shared" si="4"/>
        <v>0</v>
      </c>
      <c r="AR14" s="43">
        <f t="shared" si="4"/>
        <v>0</v>
      </c>
      <c r="AS14" s="43">
        <f t="shared" si="4"/>
        <v>0</v>
      </c>
      <c r="AT14" s="43">
        <f t="shared" si="4"/>
        <v>0</v>
      </c>
      <c r="AU14" s="43">
        <f t="shared" si="4"/>
        <v>0</v>
      </c>
      <c r="AV14" s="43">
        <f t="shared" si="5"/>
        <v>0</v>
      </c>
      <c r="AW14" s="43">
        <f t="shared" si="5"/>
        <v>0</v>
      </c>
      <c r="AX14" s="43">
        <f t="shared" si="5"/>
        <v>0</v>
      </c>
      <c r="AY14" s="43">
        <f t="shared" si="5"/>
        <v>0</v>
      </c>
      <c r="AZ14" s="43">
        <f t="shared" si="5"/>
        <v>0</v>
      </c>
      <c r="BA14" s="43">
        <f t="shared" si="5"/>
        <v>0</v>
      </c>
      <c r="BB14" s="43">
        <f t="shared" si="5"/>
        <v>0</v>
      </c>
      <c r="BC14" s="43">
        <f t="shared" si="5"/>
        <v>0</v>
      </c>
      <c r="BD14" s="43">
        <f t="shared" si="5"/>
        <v>0</v>
      </c>
      <c r="BE14" s="43">
        <f t="shared" si="5"/>
        <v>0</v>
      </c>
      <c r="BF14" s="43">
        <f t="shared" si="6"/>
        <v>0</v>
      </c>
      <c r="BG14" s="43">
        <f t="shared" si="6"/>
        <v>0</v>
      </c>
      <c r="BH14" s="43">
        <f t="shared" si="6"/>
        <v>0</v>
      </c>
      <c r="BI14" s="43">
        <f t="shared" si="6"/>
        <v>0</v>
      </c>
      <c r="BJ14" s="43">
        <f t="shared" si="6"/>
        <v>0</v>
      </c>
      <c r="BK14" s="43">
        <f t="shared" si="6"/>
        <v>0</v>
      </c>
      <c r="BL14" s="43">
        <f t="shared" si="6"/>
        <v>0</v>
      </c>
      <c r="BM14" s="43">
        <f t="shared" si="6"/>
        <v>0</v>
      </c>
      <c r="BN14" s="43">
        <f t="shared" si="6"/>
        <v>0</v>
      </c>
      <c r="BO14" s="43">
        <f t="shared" si="6"/>
        <v>0</v>
      </c>
      <c r="BP14" s="43">
        <f t="shared" si="7"/>
        <v>0</v>
      </c>
      <c r="BQ14" s="43">
        <f t="shared" si="7"/>
        <v>0</v>
      </c>
      <c r="BR14" s="43">
        <f t="shared" si="7"/>
        <v>0</v>
      </c>
      <c r="BS14" s="43">
        <f t="shared" si="7"/>
        <v>0</v>
      </c>
      <c r="BT14" s="43">
        <f t="shared" si="7"/>
        <v>0</v>
      </c>
      <c r="BU14" s="43">
        <f t="shared" si="7"/>
        <v>0</v>
      </c>
      <c r="BV14" s="43">
        <f t="shared" si="7"/>
        <v>0</v>
      </c>
      <c r="BW14" s="43">
        <f t="shared" si="7"/>
        <v>0</v>
      </c>
      <c r="BX14" s="43">
        <f t="shared" si="7"/>
        <v>0</v>
      </c>
      <c r="BY14" s="43">
        <f t="shared" si="7"/>
        <v>0</v>
      </c>
      <c r="BZ14" s="43">
        <f t="shared" si="7"/>
        <v>0</v>
      </c>
      <c r="CA14" s="43">
        <f t="shared" si="7"/>
        <v>0</v>
      </c>
    </row>
    <row r="15" spans="1:79" x14ac:dyDescent="0.25">
      <c r="A15" s="35">
        <v>4</v>
      </c>
      <c r="B15" s="8" t="s">
        <v>31</v>
      </c>
      <c r="C15" s="8"/>
      <c r="D15" s="8"/>
      <c r="E15" s="7">
        <v>1018</v>
      </c>
      <c r="F15" s="49">
        <v>142.79316000000003</v>
      </c>
      <c r="G15" s="5" t="s">
        <v>55</v>
      </c>
      <c r="H15" s="10">
        <f t="shared" si="8"/>
        <v>26.799674285714289</v>
      </c>
      <c r="I15" s="49">
        <f>VLOOKUP(B15,База!$B$8:$I$52,3,FALSE)*60</f>
        <v>21</v>
      </c>
      <c r="J15" s="35">
        <v>20</v>
      </c>
      <c r="K15" s="35">
        <f>VLOOKUP(B15,База!$B$8:$I$52,6,FALSE)</f>
        <v>2</v>
      </c>
      <c r="L15" s="35">
        <f t="shared" si="0"/>
        <v>252</v>
      </c>
      <c r="M15" s="9">
        <f t="shared" si="1"/>
        <v>26.799674285714289</v>
      </c>
      <c r="N15" s="53">
        <f>Q14</f>
        <v>141.72938482803261</v>
      </c>
      <c r="O15" s="53">
        <f>N15+M15</f>
        <v>168.52905911374688</v>
      </c>
      <c r="P15" s="53">
        <f>O15-N15</f>
        <v>26.799674285714275</v>
      </c>
      <c r="Q15" s="53">
        <f>Q14+P15</f>
        <v>168.52905911374688</v>
      </c>
      <c r="R15" s="43">
        <f t="shared" si="2"/>
        <v>1</v>
      </c>
      <c r="S15" s="43">
        <f t="shared" si="2"/>
        <v>1</v>
      </c>
      <c r="T15" s="43">
        <f t="shared" si="2"/>
        <v>1</v>
      </c>
      <c r="U15" s="43">
        <f t="shared" si="2"/>
        <v>1</v>
      </c>
      <c r="V15" s="43">
        <f t="shared" si="2"/>
        <v>1</v>
      </c>
      <c r="W15" s="43">
        <f t="shared" si="2"/>
        <v>1</v>
      </c>
      <c r="X15" s="43">
        <f t="shared" si="2"/>
        <v>1</v>
      </c>
      <c r="Y15" s="43">
        <f t="shared" si="2"/>
        <v>1</v>
      </c>
      <c r="Z15" s="43">
        <f t="shared" si="2"/>
        <v>1</v>
      </c>
      <c r="AA15" s="43">
        <f t="shared" si="2"/>
        <v>1</v>
      </c>
      <c r="AB15" s="43">
        <f t="shared" si="3"/>
        <v>1</v>
      </c>
      <c r="AC15" s="43">
        <f t="shared" si="3"/>
        <v>1</v>
      </c>
      <c r="AD15" s="43">
        <f t="shared" si="3"/>
        <v>252</v>
      </c>
      <c r="AE15" s="43">
        <f t="shared" si="3"/>
        <v>252</v>
      </c>
      <c r="AF15" s="43">
        <f t="shared" si="3"/>
        <v>252</v>
      </c>
      <c r="AG15" s="43">
        <f t="shared" si="3"/>
        <v>0</v>
      </c>
      <c r="AH15" s="43">
        <f t="shared" si="3"/>
        <v>0</v>
      </c>
      <c r="AI15" s="43">
        <f t="shared" si="3"/>
        <v>0</v>
      </c>
      <c r="AJ15" s="43">
        <f t="shared" si="3"/>
        <v>0</v>
      </c>
      <c r="AK15" s="43">
        <f t="shared" si="3"/>
        <v>0</v>
      </c>
      <c r="AL15" s="43">
        <f t="shared" si="4"/>
        <v>0</v>
      </c>
      <c r="AM15" s="43">
        <f t="shared" si="4"/>
        <v>0</v>
      </c>
      <c r="AN15" s="43">
        <f t="shared" si="4"/>
        <v>0</v>
      </c>
      <c r="AO15" s="43">
        <f t="shared" si="4"/>
        <v>0</v>
      </c>
      <c r="AP15" s="43">
        <f t="shared" si="4"/>
        <v>0</v>
      </c>
      <c r="AQ15" s="43">
        <f t="shared" si="4"/>
        <v>0</v>
      </c>
      <c r="AR15" s="43">
        <f t="shared" si="4"/>
        <v>0</v>
      </c>
      <c r="AS15" s="43">
        <f t="shared" si="4"/>
        <v>0</v>
      </c>
      <c r="AT15" s="43">
        <f t="shared" si="4"/>
        <v>0</v>
      </c>
      <c r="AU15" s="43">
        <f t="shared" si="4"/>
        <v>0</v>
      </c>
      <c r="AV15" s="43">
        <f t="shared" si="5"/>
        <v>0</v>
      </c>
      <c r="AW15" s="43">
        <f t="shared" si="5"/>
        <v>0</v>
      </c>
      <c r="AX15" s="43">
        <f t="shared" si="5"/>
        <v>0</v>
      </c>
      <c r="AY15" s="43">
        <f t="shared" si="5"/>
        <v>0</v>
      </c>
      <c r="AZ15" s="43">
        <f t="shared" si="5"/>
        <v>0</v>
      </c>
      <c r="BA15" s="43">
        <f t="shared" si="5"/>
        <v>0</v>
      </c>
      <c r="BB15" s="43">
        <f t="shared" si="5"/>
        <v>0</v>
      </c>
      <c r="BC15" s="43">
        <f t="shared" si="5"/>
        <v>0</v>
      </c>
      <c r="BD15" s="43">
        <f t="shared" si="5"/>
        <v>0</v>
      </c>
      <c r="BE15" s="43">
        <f t="shared" si="5"/>
        <v>0</v>
      </c>
      <c r="BF15" s="43">
        <f t="shared" si="6"/>
        <v>0</v>
      </c>
      <c r="BG15" s="43">
        <f t="shared" si="6"/>
        <v>0</v>
      </c>
      <c r="BH15" s="43">
        <f t="shared" si="6"/>
        <v>0</v>
      </c>
      <c r="BI15" s="43">
        <f t="shared" si="6"/>
        <v>0</v>
      </c>
      <c r="BJ15" s="43">
        <f t="shared" si="6"/>
        <v>0</v>
      </c>
      <c r="BK15" s="43">
        <f t="shared" si="6"/>
        <v>0</v>
      </c>
      <c r="BL15" s="43">
        <f t="shared" si="6"/>
        <v>0</v>
      </c>
      <c r="BM15" s="43">
        <f t="shared" si="6"/>
        <v>0</v>
      </c>
      <c r="BN15" s="43">
        <f t="shared" si="6"/>
        <v>0</v>
      </c>
      <c r="BO15" s="43">
        <f t="shared" si="6"/>
        <v>0</v>
      </c>
      <c r="BP15" s="43">
        <f t="shared" si="7"/>
        <v>0</v>
      </c>
      <c r="BQ15" s="43">
        <f t="shared" si="7"/>
        <v>0</v>
      </c>
      <c r="BR15" s="43">
        <f t="shared" si="7"/>
        <v>0</v>
      </c>
      <c r="BS15" s="43">
        <f t="shared" si="7"/>
        <v>0</v>
      </c>
      <c r="BT15" s="43">
        <f t="shared" si="7"/>
        <v>0</v>
      </c>
      <c r="BU15" s="43">
        <f t="shared" si="7"/>
        <v>0</v>
      </c>
      <c r="BV15" s="43">
        <f t="shared" si="7"/>
        <v>0</v>
      </c>
      <c r="BW15" s="43">
        <f t="shared" si="7"/>
        <v>0</v>
      </c>
      <c r="BX15" s="43">
        <f t="shared" si="7"/>
        <v>0</v>
      </c>
      <c r="BY15" s="43">
        <f t="shared" si="7"/>
        <v>0</v>
      </c>
      <c r="BZ15" s="43">
        <f t="shared" si="7"/>
        <v>0</v>
      </c>
      <c r="CA15" s="43">
        <f t="shared" si="7"/>
        <v>0</v>
      </c>
    </row>
    <row r="16" spans="1:79" x14ac:dyDescent="0.25">
      <c r="A16" s="35">
        <v>6</v>
      </c>
      <c r="B16" s="8" t="s">
        <v>34</v>
      </c>
      <c r="C16" s="8"/>
      <c r="D16" s="8"/>
      <c r="E16" s="7">
        <v>1018</v>
      </c>
      <c r="F16" s="49">
        <v>1736.2622799999999</v>
      </c>
      <c r="G16" s="5" t="s">
        <v>55</v>
      </c>
      <c r="H16" s="10">
        <f t="shared" si="8"/>
        <v>97.679156190476192</v>
      </c>
      <c r="I16" s="49">
        <f>VLOOKUP(B16,База!$B$8:$I$52,3,FALSE)*60</f>
        <v>21</v>
      </c>
      <c r="J16" s="35">
        <v>15</v>
      </c>
      <c r="K16" s="35">
        <f>VLOOKUP(B16,База!$B$8:$I$52,6,FALSE)</f>
        <v>2</v>
      </c>
      <c r="L16" s="35">
        <f t="shared" si="0"/>
        <v>252</v>
      </c>
      <c r="M16" s="9">
        <f t="shared" si="1"/>
        <v>97.679156190476192</v>
      </c>
      <c r="N16" s="53">
        <f t="shared" ref="N16:N18" si="9">Q15</f>
        <v>168.52905911374688</v>
      </c>
      <c r="O16" s="53">
        <f t="shared" ref="O16:O18" si="10">N16+M16</f>
        <v>266.20821530422307</v>
      </c>
      <c r="P16" s="53">
        <f t="shared" ref="P16:P18" si="11">O16-N16</f>
        <v>97.679156190476192</v>
      </c>
      <c r="Q16" s="53">
        <f t="shared" ref="Q16:Q18" si="12">Q15+P16</f>
        <v>266.20821530422307</v>
      </c>
      <c r="R16" s="43">
        <f t="shared" si="2"/>
        <v>1</v>
      </c>
      <c r="S16" s="43">
        <f t="shared" si="2"/>
        <v>1</v>
      </c>
      <c r="T16" s="43">
        <f t="shared" si="2"/>
        <v>1</v>
      </c>
      <c r="U16" s="43">
        <f t="shared" si="2"/>
        <v>1</v>
      </c>
      <c r="V16" s="43">
        <f t="shared" si="2"/>
        <v>1</v>
      </c>
      <c r="W16" s="43">
        <f t="shared" si="2"/>
        <v>1</v>
      </c>
      <c r="X16" s="43">
        <f t="shared" si="2"/>
        <v>1</v>
      </c>
      <c r="Y16" s="43">
        <f t="shared" si="2"/>
        <v>1</v>
      </c>
      <c r="Z16" s="43">
        <f t="shared" si="2"/>
        <v>1</v>
      </c>
      <c r="AA16" s="43">
        <f t="shared" si="2"/>
        <v>1</v>
      </c>
      <c r="AB16" s="43">
        <f t="shared" si="3"/>
        <v>1</v>
      </c>
      <c r="AC16" s="43">
        <f t="shared" si="3"/>
        <v>1</v>
      </c>
      <c r="AD16" s="43">
        <f t="shared" si="3"/>
        <v>1</v>
      </c>
      <c r="AE16" s="43">
        <f t="shared" si="3"/>
        <v>1</v>
      </c>
      <c r="AF16" s="43">
        <f t="shared" si="3"/>
        <v>1</v>
      </c>
      <c r="AG16" s="43">
        <f t="shared" si="3"/>
        <v>252</v>
      </c>
      <c r="AH16" s="43">
        <f t="shared" si="3"/>
        <v>252</v>
      </c>
      <c r="AI16" s="43">
        <f t="shared" si="3"/>
        <v>252</v>
      </c>
      <c r="AJ16" s="43">
        <f t="shared" si="3"/>
        <v>252</v>
      </c>
      <c r="AK16" s="43">
        <f t="shared" si="3"/>
        <v>252</v>
      </c>
      <c r="AL16" s="43">
        <f t="shared" si="4"/>
        <v>252</v>
      </c>
      <c r="AM16" s="43">
        <f t="shared" si="4"/>
        <v>252</v>
      </c>
      <c r="AN16" s="43">
        <f t="shared" si="4"/>
        <v>252</v>
      </c>
      <c r="AO16" s="43">
        <f t="shared" si="4"/>
        <v>0</v>
      </c>
      <c r="AP16" s="43">
        <f t="shared" si="4"/>
        <v>0</v>
      </c>
      <c r="AQ16" s="43">
        <f t="shared" si="4"/>
        <v>0</v>
      </c>
      <c r="AR16" s="43">
        <f t="shared" si="4"/>
        <v>0</v>
      </c>
      <c r="AS16" s="43">
        <f t="shared" si="4"/>
        <v>0</v>
      </c>
      <c r="AT16" s="43">
        <f t="shared" si="4"/>
        <v>0</v>
      </c>
      <c r="AU16" s="43">
        <f t="shared" si="4"/>
        <v>0</v>
      </c>
      <c r="AV16" s="43">
        <f t="shared" si="5"/>
        <v>0</v>
      </c>
      <c r="AW16" s="43">
        <f t="shared" si="5"/>
        <v>0</v>
      </c>
      <c r="AX16" s="43">
        <f t="shared" si="5"/>
        <v>0</v>
      </c>
      <c r="AY16" s="43">
        <f t="shared" si="5"/>
        <v>0</v>
      </c>
      <c r="AZ16" s="43">
        <f t="shared" si="5"/>
        <v>0</v>
      </c>
      <c r="BA16" s="43">
        <f t="shared" si="5"/>
        <v>0</v>
      </c>
      <c r="BB16" s="43">
        <f t="shared" si="5"/>
        <v>0</v>
      </c>
      <c r="BC16" s="43">
        <f t="shared" si="5"/>
        <v>0</v>
      </c>
      <c r="BD16" s="43">
        <f t="shared" si="5"/>
        <v>0</v>
      </c>
      <c r="BE16" s="43">
        <f t="shared" si="5"/>
        <v>0</v>
      </c>
      <c r="BF16" s="43">
        <f t="shared" si="6"/>
        <v>0</v>
      </c>
      <c r="BG16" s="43">
        <f t="shared" si="6"/>
        <v>0</v>
      </c>
      <c r="BH16" s="43">
        <f t="shared" si="6"/>
        <v>0</v>
      </c>
      <c r="BI16" s="43">
        <f t="shared" si="6"/>
        <v>0</v>
      </c>
      <c r="BJ16" s="43">
        <f t="shared" si="6"/>
        <v>0</v>
      </c>
      <c r="BK16" s="43">
        <f t="shared" si="6"/>
        <v>0</v>
      </c>
      <c r="BL16" s="43">
        <f t="shared" si="6"/>
        <v>0</v>
      </c>
      <c r="BM16" s="43">
        <f t="shared" si="6"/>
        <v>0</v>
      </c>
      <c r="BN16" s="43">
        <f t="shared" si="6"/>
        <v>0</v>
      </c>
      <c r="BO16" s="43">
        <f t="shared" si="6"/>
        <v>0</v>
      </c>
      <c r="BP16" s="43">
        <f t="shared" si="7"/>
        <v>0</v>
      </c>
      <c r="BQ16" s="43">
        <f t="shared" si="7"/>
        <v>0</v>
      </c>
      <c r="BR16" s="43">
        <f t="shared" si="7"/>
        <v>0</v>
      </c>
      <c r="BS16" s="43">
        <f t="shared" si="7"/>
        <v>0</v>
      </c>
      <c r="BT16" s="43">
        <f t="shared" si="7"/>
        <v>0</v>
      </c>
      <c r="BU16" s="43">
        <f t="shared" si="7"/>
        <v>0</v>
      </c>
      <c r="BV16" s="43">
        <f t="shared" si="7"/>
        <v>0</v>
      </c>
      <c r="BW16" s="43">
        <f t="shared" si="7"/>
        <v>0</v>
      </c>
      <c r="BX16" s="43">
        <f t="shared" si="7"/>
        <v>0</v>
      </c>
      <c r="BY16" s="43">
        <f t="shared" si="7"/>
        <v>0</v>
      </c>
      <c r="BZ16" s="43">
        <f t="shared" si="7"/>
        <v>0</v>
      </c>
      <c r="CA16" s="43">
        <f t="shared" si="7"/>
        <v>0</v>
      </c>
    </row>
    <row r="17" spans="1:79" x14ac:dyDescent="0.25">
      <c r="A17" s="35">
        <v>8</v>
      </c>
      <c r="B17" s="8" t="s">
        <v>35</v>
      </c>
      <c r="C17" s="8"/>
      <c r="D17" s="8"/>
      <c r="E17" s="7">
        <v>1018</v>
      </c>
      <c r="F17" s="49">
        <v>392.76242000000002</v>
      </c>
      <c r="G17" s="5" t="s">
        <v>55</v>
      </c>
      <c r="H17" s="10">
        <f t="shared" si="8"/>
        <v>40.702972380952382</v>
      </c>
      <c r="I17" s="49">
        <f>VLOOKUP(B17,База!$B$8:$I$52,3,FALSE)*60</f>
        <v>21</v>
      </c>
      <c r="J17" s="35">
        <v>22</v>
      </c>
      <c r="K17" s="35">
        <f>VLOOKUP(B17,База!$B$8:$I$52,6,FALSE)</f>
        <v>2</v>
      </c>
      <c r="L17" s="35">
        <f t="shared" si="0"/>
        <v>252</v>
      </c>
      <c r="M17" s="9">
        <f t="shared" si="1"/>
        <v>40.702972380952382</v>
      </c>
      <c r="N17" s="53">
        <f t="shared" si="9"/>
        <v>266.20821530422307</v>
      </c>
      <c r="O17" s="53">
        <f t="shared" si="10"/>
        <v>306.91118768517543</v>
      </c>
      <c r="P17" s="53">
        <f t="shared" si="11"/>
        <v>40.70297238095236</v>
      </c>
      <c r="Q17" s="53">
        <f t="shared" si="12"/>
        <v>306.91118768517543</v>
      </c>
      <c r="R17" s="43">
        <f t="shared" si="2"/>
        <v>1</v>
      </c>
      <c r="S17" s="43">
        <f t="shared" si="2"/>
        <v>1</v>
      </c>
      <c r="T17" s="43">
        <f t="shared" si="2"/>
        <v>1</v>
      </c>
      <c r="U17" s="43">
        <f t="shared" si="2"/>
        <v>1</v>
      </c>
      <c r="V17" s="43">
        <f t="shared" si="2"/>
        <v>1</v>
      </c>
      <c r="W17" s="43">
        <f t="shared" si="2"/>
        <v>1</v>
      </c>
      <c r="X17" s="43">
        <f t="shared" si="2"/>
        <v>1</v>
      </c>
      <c r="Y17" s="43">
        <f t="shared" si="2"/>
        <v>1</v>
      </c>
      <c r="Z17" s="43">
        <f t="shared" si="2"/>
        <v>1</v>
      </c>
      <c r="AA17" s="43">
        <f t="shared" si="2"/>
        <v>1</v>
      </c>
      <c r="AB17" s="43">
        <f t="shared" si="3"/>
        <v>1</v>
      </c>
      <c r="AC17" s="43">
        <f t="shared" si="3"/>
        <v>1</v>
      </c>
      <c r="AD17" s="43">
        <f t="shared" si="3"/>
        <v>1</v>
      </c>
      <c r="AE17" s="43">
        <f t="shared" si="3"/>
        <v>1</v>
      </c>
      <c r="AF17" s="43">
        <f t="shared" si="3"/>
        <v>1</v>
      </c>
      <c r="AG17" s="43">
        <f t="shared" si="3"/>
        <v>1</v>
      </c>
      <c r="AH17" s="43">
        <f t="shared" si="3"/>
        <v>1</v>
      </c>
      <c r="AI17" s="43">
        <f t="shared" si="3"/>
        <v>1</v>
      </c>
      <c r="AJ17" s="43">
        <f t="shared" si="3"/>
        <v>1</v>
      </c>
      <c r="AK17" s="43">
        <f t="shared" si="3"/>
        <v>1</v>
      </c>
      <c r="AL17" s="43">
        <f t="shared" si="4"/>
        <v>1</v>
      </c>
      <c r="AM17" s="43">
        <f t="shared" si="4"/>
        <v>1</v>
      </c>
      <c r="AN17" s="43">
        <f t="shared" si="4"/>
        <v>1</v>
      </c>
      <c r="AO17" s="43">
        <f t="shared" si="4"/>
        <v>252</v>
      </c>
      <c r="AP17" s="43">
        <f t="shared" si="4"/>
        <v>252</v>
      </c>
      <c r="AQ17" s="43">
        <f t="shared" si="4"/>
        <v>252</v>
      </c>
      <c r="AR17" s="43">
        <f t="shared" si="4"/>
        <v>0</v>
      </c>
      <c r="AS17" s="43">
        <f t="shared" si="4"/>
        <v>0</v>
      </c>
      <c r="AT17" s="43">
        <f t="shared" si="4"/>
        <v>0</v>
      </c>
      <c r="AU17" s="43">
        <f t="shared" si="4"/>
        <v>0</v>
      </c>
      <c r="AV17" s="43">
        <f t="shared" si="5"/>
        <v>0</v>
      </c>
      <c r="AW17" s="43">
        <f t="shared" si="5"/>
        <v>0</v>
      </c>
      <c r="AX17" s="43">
        <f t="shared" si="5"/>
        <v>0</v>
      </c>
      <c r="AY17" s="43">
        <f t="shared" si="5"/>
        <v>0</v>
      </c>
      <c r="AZ17" s="43">
        <f t="shared" si="5"/>
        <v>0</v>
      </c>
      <c r="BA17" s="43">
        <f t="shared" si="5"/>
        <v>0</v>
      </c>
      <c r="BB17" s="43">
        <f t="shared" si="5"/>
        <v>0</v>
      </c>
      <c r="BC17" s="43">
        <f t="shared" si="5"/>
        <v>0</v>
      </c>
      <c r="BD17" s="43">
        <f t="shared" si="5"/>
        <v>0</v>
      </c>
      <c r="BE17" s="43">
        <f t="shared" si="5"/>
        <v>0</v>
      </c>
      <c r="BF17" s="43">
        <f t="shared" si="6"/>
        <v>0</v>
      </c>
      <c r="BG17" s="43">
        <f t="shared" si="6"/>
        <v>0</v>
      </c>
      <c r="BH17" s="43">
        <f t="shared" si="6"/>
        <v>0</v>
      </c>
      <c r="BI17" s="43">
        <f t="shared" si="6"/>
        <v>0</v>
      </c>
      <c r="BJ17" s="43">
        <f t="shared" si="6"/>
        <v>0</v>
      </c>
      <c r="BK17" s="43">
        <f t="shared" si="6"/>
        <v>0</v>
      </c>
      <c r="BL17" s="43">
        <f t="shared" si="6"/>
        <v>0</v>
      </c>
      <c r="BM17" s="43">
        <f t="shared" si="6"/>
        <v>0</v>
      </c>
      <c r="BN17" s="43">
        <f t="shared" si="6"/>
        <v>0</v>
      </c>
      <c r="BO17" s="43">
        <f t="shared" si="6"/>
        <v>0</v>
      </c>
      <c r="BP17" s="43">
        <f t="shared" si="7"/>
        <v>0</v>
      </c>
      <c r="BQ17" s="43">
        <f t="shared" si="7"/>
        <v>0</v>
      </c>
      <c r="BR17" s="43">
        <f t="shared" si="7"/>
        <v>0</v>
      </c>
      <c r="BS17" s="43">
        <f t="shared" si="7"/>
        <v>0</v>
      </c>
      <c r="BT17" s="43">
        <f t="shared" si="7"/>
        <v>0</v>
      </c>
      <c r="BU17" s="43">
        <f t="shared" si="7"/>
        <v>0</v>
      </c>
      <c r="BV17" s="43">
        <f t="shared" si="7"/>
        <v>0</v>
      </c>
      <c r="BW17" s="43">
        <f t="shared" si="7"/>
        <v>0</v>
      </c>
      <c r="BX17" s="43">
        <f t="shared" si="7"/>
        <v>0</v>
      </c>
      <c r="BY17" s="43">
        <f t="shared" si="7"/>
        <v>0</v>
      </c>
      <c r="BZ17" s="43">
        <f t="shared" si="7"/>
        <v>0</v>
      </c>
      <c r="CA17" s="43">
        <f t="shared" si="7"/>
        <v>0</v>
      </c>
    </row>
    <row r="18" spans="1:79" x14ac:dyDescent="0.25">
      <c r="A18" s="35">
        <v>10</v>
      </c>
      <c r="B18" s="8" t="s">
        <v>15</v>
      </c>
      <c r="C18" s="8"/>
      <c r="D18" s="8"/>
      <c r="E18" s="7">
        <v>1018</v>
      </c>
      <c r="F18" s="49">
        <v>215.43992431409646</v>
      </c>
      <c r="G18" s="5" t="s">
        <v>55</v>
      </c>
      <c r="H18" s="10">
        <f t="shared" si="8"/>
        <v>22.953327026174705</v>
      </c>
      <c r="I18" s="49">
        <f>VLOOKUP(B18,База!$B$8:$I$52,3,FALSE)*60</f>
        <v>12</v>
      </c>
      <c r="J18" s="35">
        <v>5</v>
      </c>
      <c r="K18" s="35">
        <f>VLOOKUP(B18,База!$B$8:$I$52,6,FALSE)</f>
        <v>4</v>
      </c>
      <c r="L18" s="35">
        <f t="shared" si="0"/>
        <v>144</v>
      </c>
      <c r="M18" s="9">
        <f t="shared" si="1"/>
        <v>22.953327026174705</v>
      </c>
      <c r="N18" s="53">
        <f t="shared" si="9"/>
        <v>306.91118768517543</v>
      </c>
      <c r="O18" s="53">
        <f t="shared" si="10"/>
        <v>329.86451471135013</v>
      </c>
      <c r="P18" s="53">
        <f t="shared" si="11"/>
        <v>22.953327026174691</v>
      </c>
      <c r="Q18" s="53">
        <f t="shared" si="12"/>
        <v>329.86451471135013</v>
      </c>
      <c r="R18" s="43">
        <f t="shared" si="2"/>
        <v>1</v>
      </c>
      <c r="S18" s="43">
        <f t="shared" si="2"/>
        <v>1</v>
      </c>
      <c r="T18" s="43">
        <f t="shared" si="2"/>
        <v>1</v>
      </c>
      <c r="U18" s="43">
        <f t="shared" si="2"/>
        <v>1</v>
      </c>
      <c r="V18" s="43">
        <f t="shared" si="2"/>
        <v>1</v>
      </c>
      <c r="W18" s="43">
        <f t="shared" si="2"/>
        <v>1</v>
      </c>
      <c r="X18" s="43">
        <f t="shared" si="2"/>
        <v>1</v>
      </c>
      <c r="Y18" s="43">
        <f t="shared" si="2"/>
        <v>1</v>
      </c>
      <c r="Z18" s="43">
        <f t="shared" si="2"/>
        <v>1</v>
      </c>
      <c r="AA18" s="43">
        <f t="shared" si="2"/>
        <v>1</v>
      </c>
      <c r="AB18" s="43">
        <f t="shared" si="3"/>
        <v>1</v>
      </c>
      <c r="AC18" s="43">
        <f t="shared" si="3"/>
        <v>1</v>
      </c>
      <c r="AD18" s="43">
        <f t="shared" si="3"/>
        <v>1</v>
      </c>
      <c r="AE18" s="43">
        <f t="shared" si="3"/>
        <v>1</v>
      </c>
      <c r="AF18" s="43">
        <f t="shared" si="3"/>
        <v>1</v>
      </c>
      <c r="AG18" s="43">
        <f t="shared" si="3"/>
        <v>1</v>
      </c>
      <c r="AH18" s="43">
        <f t="shared" si="3"/>
        <v>1</v>
      </c>
      <c r="AI18" s="43">
        <f t="shared" si="3"/>
        <v>1</v>
      </c>
      <c r="AJ18" s="43">
        <f t="shared" si="3"/>
        <v>1</v>
      </c>
      <c r="AK18" s="43">
        <f t="shared" si="3"/>
        <v>1</v>
      </c>
      <c r="AL18" s="43">
        <f t="shared" si="4"/>
        <v>1</v>
      </c>
      <c r="AM18" s="43">
        <f t="shared" si="4"/>
        <v>1</v>
      </c>
      <c r="AN18" s="43">
        <f t="shared" si="4"/>
        <v>1</v>
      </c>
      <c r="AO18" s="43">
        <f t="shared" si="4"/>
        <v>1</v>
      </c>
      <c r="AP18" s="43">
        <f t="shared" si="4"/>
        <v>1</v>
      </c>
      <c r="AQ18" s="43">
        <f t="shared" si="4"/>
        <v>1</v>
      </c>
      <c r="AR18" s="43">
        <f t="shared" si="4"/>
        <v>144</v>
      </c>
      <c r="AS18" s="43">
        <f t="shared" si="4"/>
        <v>144</v>
      </c>
      <c r="AT18" s="43">
        <f t="shared" si="4"/>
        <v>0</v>
      </c>
      <c r="AU18" s="43">
        <f t="shared" si="4"/>
        <v>0</v>
      </c>
      <c r="AV18" s="43">
        <f t="shared" si="5"/>
        <v>0</v>
      </c>
      <c r="AW18" s="43">
        <f t="shared" si="5"/>
        <v>0</v>
      </c>
      <c r="AX18" s="43">
        <f t="shared" si="5"/>
        <v>0</v>
      </c>
      <c r="AY18" s="43">
        <f t="shared" si="5"/>
        <v>0</v>
      </c>
      <c r="AZ18" s="43">
        <f t="shared" si="5"/>
        <v>0</v>
      </c>
      <c r="BA18" s="43">
        <f t="shared" si="5"/>
        <v>0</v>
      </c>
      <c r="BB18" s="43">
        <f t="shared" si="5"/>
        <v>0</v>
      </c>
      <c r="BC18" s="43">
        <f t="shared" si="5"/>
        <v>0</v>
      </c>
      <c r="BD18" s="43">
        <f t="shared" si="5"/>
        <v>0</v>
      </c>
      <c r="BE18" s="43">
        <f t="shared" si="5"/>
        <v>0</v>
      </c>
      <c r="BF18" s="43">
        <f t="shared" si="6"/>
        <v>0</v>
      </c>
      <c r="BG18" s="43">
        <f t="shared" si="6"/>
        <v>0</v>
      </c>
      <c r="BH18" s="43">
        <f t="shared" si="6"/>
        <v>0</v>
      </c>
      <c r="BI18" s="43">
        <f t="shared" si="6"/>
        <v>0</v>
      </c>
      <c r="BJ18" s="43">
        <f t="shared" si="6"/>
        <v>0</v>
      </c>
      <c r="BK18" s="43">
        <f t="shared" si="6"/>
        <v>0</v>
      </c>
      <c r="BL18" s="43">
        <f t="shared" si="6"/>
        <v>0</v>
      </c>
      <c r="BM18" s="43">
        <f t="shared" si="6"/>
        <v>0</v>
      </c>
      <c r="BN18" s="43">
        <f t="shared" si="6"/>
        <v>0</v>
      </c>
      <c r="BO18" s="43">
        <f t="shared" si="6"/>
        <v>0</v>
      </c>
      <c r="BP18" s="43">
        <f t="shared" si="7"/>
        <v>0</v>
      </c>
      <c r="BQ18" s="43">
        <f t="shared" si="7"/>
        <v>0</v>
      </c>
      <c r="BR18" s="43">
        <f t="shared" si="7"/>
        <v>0</v>
      </c>
      <c r="BS18" s="43">
        <f t="shared" si="7"/>
        <v>0</v>
      </c>
      <c r="BT18" s="43">
        <f t="shared" si="7"/>
        <v>0</v>
      </c>
      <c r="BU18" s="43">
        <f t="shared" si="7"/>
        <v>0</v>
      </c>
      <c r="BV18" s="43">
        <f t="shared" si="7"/>
        <v>0</v>
      </c>
      <c r="BW18" s="43">
        <f t="shared" si="7"/>
        <v>0</v>
      </c>
      <c r="BX18" s="43">
        <f t="shared" si="7"/>
        <v>0</v>
      </c>
      <c r="BY18" s="43">
        <f t="shared" si="7"/>
        <v>0</v>
      </c>
      <c r="BZ18" s="43">
        <f t="shared" si="7"/>
        <v>0</v>
      </c>
      <c r="CA18" s="43">
        <f t="shared" si="7"/>
        <v>0</v>
      </c>
    </row>
    <row r="19" spans="1:79" x14ac:dyDescent="0.25">
      <c r="A19" s="35">
        <v>19</v>
      </c>
      <c r="B19" s="8" t="s">
        <v>58</v>
      </c>
      <c r="C19" s="8"/>
      <c r="D19" s="8"/>
      <c r="E19" s="7">
        <v>1018</v>
      </c>
      <c r="F19" s="49">
        <v>808.7801147227533</v>
      </c>
      <c r="G19" s="5" t="s">
        <v>55</v>
      </c>
      <c r="H19" s="10">
        <f t="shared" si="8"/>
        <v>41.513338796321584</v>
      </c>
      <c r="I19" s="49">
        <f>VLOOKUP(B19,База!$B$8:$I$52,3,FALSE)*60</f>
        <v>21</v>
      </c>
      <c r="J19" s="35">
        <v>3</v>
      </c>
      <c r="K19" s="35">
        <f>VLOOKUP(B19,База!$B$8:$I$52,6,FALSE)</f>
        <v>2.5</v>
      </c>
      <c r="L19" s="35">
        <f t="shared" si="0"/>
        <v>252</v>
      </c>
      <c r="M19" s="9">
        <f t="shared" si="1"/>
        <v>41.513338796321584</v>
      </c>
      <c r="N19" s="53">
        <f t="shared" ref="N19:N64" si="13">Q18</f>
        <v>329.86451471135013</v>
      </c>
      <c r="O19" s="53">
        <f t="shared" ref="O19:O64" si="14">N19+M19</f>
        <v>371.37785350767172</v>
      </c>
      <c r="P19" s="53">
        <f t="shared" ref="P19:P64" si="15">O19-N19</f>
        <v>41.513338796321591</v>
      </c>
      <c r="Q19" s="53">
        <f t="shared" ref="Q19:Q64" si="16">Q18+P19</f>
        <v>371.37785350767172</v>
      </c>
      <c r="R19" s="43">
        <f t="shared" si="2"/>
        <v>1</v>
      </c>
      <c r="S19" s="43">
        <f t="shared" si="2"/>
        <v>1</v>
      </c>
      <c r="T19" s="43">
        <f t="shared" si="2"/>
        <v>1</v>
      </c>
      <c r="U19" s="43">
        <f t="shared" si="2"/>
        <v>1</v>
      </c>
      <c r="V19" s="43">
        <f t="shared" si="2"/>
        <v>1</v>
      </c>
      <c r="W19" s="43">
        <f t="shared" si="2"/>
        <v>1</v>
      </c>
      <c r="X19" s="43">
        <f t="shared" si="2"/>
        <v>1</v>
      </c>
      <c r="Y19" s="43">
        <f t="shared" si="2"/>
        <v>1</v>
      </c>
      <c r="Z19" s="43">
        <f t="shared" si="2"/>
        <v>1</v>
      </c>
      <c r="AA19" s="43">
        <f t="shared" si="2"/>
        <v>1</v>
      </c>
      <c r="AB19" s="43">
        <f t="shared" si="3"/>
        <v>1</v>
      </c>
      <c r="AC19" s="43">
        <f t="shared" si="3"/>
        <v>1</v>
      </c>
      <c r="AD19" s="43">
        <f t="shared" si="3"/>
        <v>1</v>
      </c>
      <c r="AE19" s="43">
        <f t="shared" si="3"/>
        <v>1</v>
      </c>
      <c r="AF19" s="43">
        <f t="shared" si="3"/>
        <v>1</v>
      </c>
      <c r="AG19" s="43">
        <f t="shared" si="3"/>
        <v>1</v>
      </c>
      <c r="AH19" s="43">
        <f t="shared" si="3"/>
        <v>1</v>
      </c>
      <c r="AI19" s="43">
        <f t="shared" si="3"/>
        <v>1</v>
      </c>
      <c r="AJ19" s="43">
        <f t="shared" si="3"/>
        <v>1</v>
      </c>
      <c r="AK19" s="43">
        <f t="shared" si="3"/>
        <v>1</v>
      </c>
      <c r="AL19" s="43">
        <f t="shared" si="4"/>
        <v>1</v>
      </c>
      <c r="AM19" s="43">
        <f t="shared" si="4"/>
        <v>1</v>
      </c>
      <c r="AN19" s="43">
        <f t="shared" si="4"/>
        <v>1</v>
      </c>
      <c r="AO19" s="43">
        <f t="shared" si="4"/>
        <v>1</v>
      </c>
      <c r="AP19" s="43">
        <f t="shared" si="4"/>
        <v>1</v>
      </c>
      <c r="AQ19" s="43">
        <f t="shared" si="4"/>
        <v>1</v>
      </c>
      <c r="AR19" s="43">
        <f t="shared" si="4"/>
        <v>1</v>
      </c>
      <c r="AS19" s="43">
        <f t="shared" si="4"/>
        <v>1</v>
      </c>
      <c r="AT19" s="43">
        <f t="shared" si="4"/>
        <v>252</v>
      </c>
      <c r="AU19" s="43">
        <f t="shared" si="4"/>
        <v>252</v>
      </c>
      <c r="AV19" s="43">
        <f t="shared" si="5"/>
        <v>252</v>
      </c>
      <c r="AW19" s="43">
        <f t="shared" si="5"/>
        <v>0</v>
      </c>
      <c r="AX19" s="43">
        <f t="shared" si="5"/>
        <v>0</v>
      </c>
      <c r="AY19" s="43">
        <f t="shared" si="5"/>
        <v>0</v>
      </c>
      <c r="AZ19" s="43">
        <f t="shared" si="5"/>
        <v>0</v>
      </c>
      <c r="BA19" s="43">
        <f t="shared" si="5"/>
        <v>0</v>
      </c>
      <c r="BB19" s="43">
        <f t="shared" si="5"/>
        <v>0</v>
      </c>
      <c r="BC19" s="43">
        <f t="shared" si="5"/>
        <v>0</v>
      </c>
      <c r="BD19" s="43">
        <f t="shared" si="5"/>
        <v>0</v>
      </c>
      <c r="BE19" s="43">
        <f t="shared" si="5"/>
        <v>0</v>
      </c>
      <c r="BF19" s="43">
        <f t="shared" si="6"/>
        <v>0</v>
      </c>
      <c r="BG19" s="43">
        <f t="shared" si="6"/>
        <v>0</v>
      </c>
      <c r="BH19" s="43">
        <f t="shared" si="6"/>
        <v>0</v>
      </c>
      <c r="BI19" s="43">
        <f t="shared" si="6"/>
        <v>0</v>
      </c>
      <c r="BJ19" s="43">
        <f t="shared" si="6"/>
        <v>0</v>
      </c>
      <c r="BK19" s="43">
        <f t="shared" si="6"/>
        <v>0</v>
      </c>
      <c r="BL19" s="43">
        <f t="shared" si="6"/>
        <v>0</v>
      </c>
      <c r="BM19" s="43">
        <f t="shared" si="6"/>
        <v>0</v>
      </c>
      <c r="BN19" s="43">
        <f t="shared" si="6"/>
        <v>0</v>
      </c>
      <c r="BO19" s="43">
        <f t="shared" si="6"/>
        <v>0</v>
      </c>
      <c r="BP19" s="43">
        <f t="shared" si="7"/>
        <v>0</v>
      </c>
      <c r="BQ19" s="43">
        <f t="shared" si="7"/>
        <v>0</v>
      </c>
      <c r="BR19" s="43">
        <f t="shared" si="7"/>
        <v>0</v>
      </c>
      <c r="BS19" s="43">
        <f t="shared" si="7"/>
        <v>0</v>
      </c>
      <c r="BT19" s="43">
        <f t="shared" si="7"/>
        <v>0</v>
      </c>
      <c r="BU19" s="43">
        <f t="shared" si="7"/>
        <v>0</v>
      </c>
      <c r="BV19" s="43">
        <f t="shared" si="7"/>
        <v>0</v>
      </c>
      <c r="BW19" s="43">
        <f t="shared" si="7"/>
        <v>0</v>
      </c>
      <c r="BX19" s="43">
        <f t="shared" si="7"/>
        <v>0</v>
      </c>
      <c r="BY19" s="43">
        <f t="shared" si="7"/>
        <v>0</v>
      </c>
      <c r="BZ19" s="43">
        <f t="shared" si="7"/>
        <v>0</v>
      </c>
      <c r="CA19" s="43">
        <f t="shared" si="7"/>
        <v>0</v>
      </c>
    </row>
    <row r="20" spans="1:79" x14ac:dyDescent="0.25">
      <c r="A20" s="35">
        <v>20</v>
      </c>
      <c r="B20" s="8" t="s">
        <v>21</v>
      </c>
      <c r="C20" s="8"/>
      <c r="D20" s="8"/>
      <c r="E20" s="7">
        <v>1018</v>
      </c>
      <c r="F20" s="49">
        <v>504</v>
      </c>
      <c r="G20" s="5" t="s">
        <v>55</v>
      </c>
      <c r="H20" s="10">
        <f t="shared" si="8"/>
        <v>25</v>
      </c>
      <c r="I20" s="49">
        <f>VLOOKUP(B20,База!$B$8:$I$52,3,FALSE)*60</f>
        <v>21</v>
      </c>
      <c r="J20" s="35">
        <v>1</v>
      </c>
      <c r="K20" s="35">
        <f>VLOOKUP(B20,База!$B$8:$I$52,6,FALSE)</f>
        <v>3</v>
      </c>
      <c r="L20" s="35">
        <f t="shared" si="0"/>
        <v>252</v>
      </c>
      <c r="M20" s="9">
        <f t="shared" si="1"/>
        <v>25</v>
      </c>
      <c r="N20" s="53">
        <f t="shared" si="13"/>
        <v>371.37785350767172</v>
      </c>
      <c r="O20" s="53">
        <f t="shared" si="14"/>
        <v>396.37785350767172</v>
      </c>
      <c r="P20" s="53">
        <f t="shared" si="15"/>
        <v>25</v>
      </c>
      <c r="Q20" s="53">
        <f t="shared" si="16"/>
        <v>396.37785350767172</v>
      </c>
      <c r="R20" s="43">
        <f t="shared" si="2"/>
        <v>1</v>
      </c>
      <c r="S20" s="43">
        <f t="shared" si="2"/>
        <v>1</v>
      </c>
      <c r="T20" s="43">
        <f t="shared" si="2"/>
        <v>1</v>
      </c>
      <c r="U20" s="43">
        <f t="shared" si="2"/>
        <v>1</v>
      </c>
      <c r="V20" s="43">
        <f t="shared" si="2"/>
        <v>1</v>
      </c>
      <c r="W20" s="43">
        <f t="shared" si="2"/>
        <v>1</v>
      </c>
      <c r="X20" s="43">
        <f t="shared" si="2"/>
        <v>1</v>
      </c>
      <c r="Y20" s="43">
        <f t="shared" si="2"/>
        <v>1</v>
      </c>
      <c r="Z20" s="43">
        <f t="shared" si="2"/>
        <v>1</v>
      </c>
      <c r="AA20" s="43">
        <f t="shared" si="2"/>
        <v>1</v>
      </c>
      <c r="AB20" s="43">
        <f t="shared" si="3"/>
        <v>1</v>
      </c>
      <c r="AC20" s="43">
        <f t="shared" si="3"/>
        <v>1</v>
      </c>
      <c r="AD20" s="43">
        <f t="shared" si="3"/>
        <v>1</v>
      </c>
      <c r="AE20" s="43">
        <f t="shared" si="3"/>
        <v>1</v>
      </c>
      <c r="AF20" s="43">
        <f t="shared" si="3"/>
        <v>1</v>
      </c>
      <c r="AG20" s="43">
        <f t="shared" si="3"/>
        <v>1</v>
      </c>
      <c r="AH20" s="43">
        <f t="shared" si="3"/>
        <v>1</v>
      </c>
      <c r="AI20" s="43">
        <f t="shared" si="3"/>
        <v>1</v>
      </c>
      <c r="AJ20" s="43">
        <f t="shared" si="3"/>
        <v>1</v>
      </c>
      <c r="AK20" s="43">
        <f t="shared" si="3"/>
        <v>1</v>
      </c>
      <c r="AL20" s="43">
        <f t="shared" si="4"/>
        <v>1</v>
      </c>
      <c r="AM20" s="43">
        <f t="shared" si="4"/>
        <v>1</v>
      </c>
      <c r="AN20" s="43">
        <f t="shared" si="4"/>
        <v>1</v>
      </c>
      <c r="AO20" s="43">
        <f t="shared" si="4"/>
        <v>1</v>
      </c>
      <c r="AP20" s="43">
        <f t="shared" si="4"/>
        <v>1</v>
      </c>
      <c r="AQ20" s="43">
        <f t="shared" si="4"/>
        <v>1</v>
      </c>
      <c r="AR20" s="43">
        <f t="shared" si="4"/>
        <v>1</v>
      </c>
      <c r="AS20" s="43">
        <f t="shared" si="4"/>
        <v>1</v>
      </c>
      <c r="AT20" s="43">
        <f t="shared" si="4"/>
        <v>1</v>
      </c>
      <c r="AU20" s="43">
        <f t="shared" si="4"/>
        <v>1</v>
      </c>
      <c r="AV20" s="43">
        <f t="shared" si="5"/>
        <v>1</v>
      </c>
      <c r="AW20" s="43">
        <f t="shared" si="5"/>
        <v>252</v>
      </c>
      <c r="AX20" s="43">
        <f t="shared" si="5"/>
        <v>252</v>
      </c>
      <c r="AY20" s="43">
        <f t="shared" si="5"/>
        <v>252</v>
      </c>
      <c r="AZ20" s="43">
        <f t="shared" si="5"/>
        <v>0</v>
      </c>
      <c r="BA20" s="43">
        <f t="shared" si="5"/>
        <v>0</v>
      </c>
      <c r="BB20" s="43">
        <f t="shared" si="5"/>
        <v>0</v>
      </c>
      <c r="BC20" s="43">
        <f t="shared" si="5"/>
        <v>0</v>
      </c>
      <c r="BD20" s="43">
        <f t="shared" si="5"/>
        <v>0</v>
      </c>
      <c r="BE20" s="43">
        <f t="shared" si="5"/>
        <v>0</v>
      </c>
      <c r="BF20" s="43">
        <f t="shared" si="6"/>
        <v>0</v>
      </c>
      <c r="BG20" s="43">
        <f t="shared" si="6"/>
        <v>0</v>
      </c>
      <c r="BH20" s="43">
        <f t="shared" si="6"/>
        <v>0</v>
      </c>
      <c r="BI20" s="43">
        <f t="shared" si="6"/>
        <v>0</v>
      </c>
      <c r="BJ20" s="43">
        <f t="shared" si="6"/>
        <v>0</v>
      </c>
      <c r="BK20" s="43">
        <f t="shared" si="6"/>
        <v>0</v>
      </c>
      <c r="BL20" s="43">
        <f t="shared" si="6"/>
        <v>0</v>
      </c>
      <c r="BM20" s="43">
        <f t="shared" si="6"/>
        <v>0</v>
      </c>
      <c r="BN20" s="43">
        <f t="shared" si="6"/>
        <v>0</v>
      </c>
      <c r="BO20" s="43">
        <f t="shared" si="6"/>
        <v>0</v>
      </c>
      <c r="BP20" s="43">
        <f t="shared" si="7"/>
        <v>0</v>
      </c>
      <c r="BQ20" s="43">
        <f t="shared" si="7"/>
        <v>0</v>
      </c>
      <c r="BR20" s="43">
        <f t="shared" si="7"/>
        <v>0</v>
      </c>
      <c r="BS20" s="43">
        <f t="shared" si="7"/>
        <v>0</v>
      </c>
      <c r="BT20" s="43">
        <f t="shared" si="7"/>
        <v>0</v>
      </c>
      <c r="BU20" s="43">
        <f t="shared" si="7"/>
        <v>0</v>
      </c>
      <c r="BV20" s="43">
        <f t="shared" si="7"/>
        <v>0</v>
      </c>
      <c r="BW20" s="43">
        <f t="shared" si="7"/>
        <v>0</v>
      </c>
      <c r="BX20" s="43">
        <f t="shared" si="7"/>
        <v>0</v>
      </c>
      <c r="BY20" s="43">
        <f t="shared" si="7"/>
        <v>0</v>
      </c>
      <c r="BZ20" s="43">
        <f t="shared" si="7"/>
        <v>0</v>
      </c>
      <c r="CA20" s="43">
        <f t="shared" si="7"/>
        <v>0</v>
      </c>
    </row>
    <row r="21" spans="1:79" x14ac:dyDescent="0.25">
      <c r="A21" s="35">
        <v>21</v>
      </c>
      <c r="B21" s="8" t="s">
        <v>18</v>
      </c>
      <c r="C21" s="8"/>
      <c r="D21" s="8"/>
      <c r="E21" s="7">
        <v>1018</v>
      </c>
      <c r="F21" s="49">
        <v>2500</v>
      </c>
      <c r="G21" s="5" t="s">
        <v>55</v>
      </c>
      <c r="H21" s="10">
        <f t="shared" si="8"/>
        <v>106.16666666666667</v>
      </c>
      <c r="I21" s="49">
        <f>VLOOKUP(B21,База!$B$8:$I$52,3,FALSE)*60</f>
        <v>24</v>
      </c>
      <c r="J21" s="35">
        <v>2</v>
      </c>
      <c r="K21" s="35">
        <f>VLOOKUP(B21,База!$B$8:$I$52,6,FALSE)</f>
        <v>3</v>
      </c>
      <c r="L21" s="35">
        <f t="shared" si="0"/>
        <v>288</v>
      </c>
      <c r="M21" s="9">
        <f t="shared" si="1"/>
        <v>106.16666666666667</v>
      </c>
      <c r="N21" s="53">
        <f t="shared" si="13"/>
        <v>396.37785350767172</v>
      </c>
      <c r="O21" s="53">
        <f t="shared" si="14"/>
        <v>502.5445201743384</v>
      </c>
      <c r="P21" s="53">
        <f t="shared" si="15"/>
        <v>106.16666666666669</v>
      </c>
      <c r="Q21" s="53">
        <f t="shared" si="16"/>
        <v>502.5445201743384</v>
      </c>
      <c r="R21" s="43">
        <f t="shared" si="2"/>
        <v>1</v>
      </c>
      <c r="S21" s="43">
        <f t="shared" si="2"/>
        <v>1</v>
      </c>
      <c r="T21" s="43">
        <f t="shared" si="2"/>
        <v>1</v>
      </c>
      <c r="U21" s="43">
        <f t="shared" si="2"/>
        <v>1</v>
      </c>
      <c r="V21" s="43">
        <f t="shared" si="2"/>
        <v>1</v>
      </c>
      <c r="W21" s="43">
        <f t="shared" si="2"/>
        <v>1</v>
      </c>
      <c r="X21" s="43">
        <f t="shared" si="2"/>
        <v>1</v>
      </c>
      <c r="Y21" s="43">
        <f t="shared" si="2"/>
        <v>1</v>
      </c>
      <c r="Z21" s="43">
        <f t="shared" si="2"/>
        <v>1</v>
      </c>
      <c r="AA21" s="43">
        <f t="shared" si="2"/>
        <v>1</v>
      </c>
      <c r="AB21" s="43">
        <f t="shared" si="3"/>
        <v>1</v>
      </c>
      <c r="AC21" s="43">
        <f t="shared" si="3"/>
        <v>1</v>
      </c>
      <c r="AD21" s="43">
        <f t="shared" si="3"/>
        <v>1</v>
      </c>
      <c r="AE21" s="43">
        <f t="shared" si="3"/>
        <v>1</v>
      </c>
      <c r="AF21" s="43">
        <f t="shared" si="3"/>
        <v>1</v>
      </c>
      <c r="AG21" s="43">
        <f t="shared" si="3"/>
        <v>1</v>
      </c>
      <c r="AH21" s="43">
        <f t="shared" si="3"/>
        <v>1</v>
      </c>
      <c r="AI21" s="43">
        <f t="shared" si="3"/>
        <v>1</v>
      </c>
      <c r="AJ21" s="43">
        <f t="shared" si="3"/>
        <v>1</v>
      </c>
      <c r="AK21" s="43">
        <f t="shared" si="3"/>
        <v>1</v>
      </c>
      <c r="AL21" s="43">
        <f t="shared" si="4"/>
        <v>1</v>
      </c>
      <c r="AM21" s="43">
        <f t="shared" si="4"/>
        <v>1</v>
      </c>
      <c r="AN21" s="43">
        <f t="shared" si="4"/>
        <v>1</v>
      </c>
      <c r="AO21" s="43">
        <f t="shared" si="4"/>
        <v>1</v>
      </c>
      <c r="AP21" s="43">
        <f t="shared" si="4"/>
        <v>1</v>
      </c>
      <c r="AQ21" s="43">
        <f t="shared" si="4"/>
        <v>1</v>
      </c>
      <c r="AR21" s="43">
        <f t="shared" si="4"/>
        <v>1</v>
      </c>
      <c r="AS21" s="43">
        <f t="shared" si="4"/>
        <v>1</v>
      </c>
      <c r="AT21" s="43">
        <f t="shared" si="4"/>
        <v>1</v>
      </c>
      <c r="AU21" s="43">
        <f t="shared" si="4"/>
        <v>1</v>
      </c>
      <c r="AV21" s="43">
        <f t="shared" si="5"/>
        <v>1</v>
      </c>
      <c r="AW21" s="43">
        <f t="shared" si="5"/>
        <v>1</v>
      </c>
      <c r="AX21" s="43">
        <f t="shared" si="5"/>
        <v>1</v>
      </c>
      <c r="AY21" s="43">
        <f t="shared" si="5"/>
        <v>1</v>
      </c>
      <c r="AZ21" s="43">
        <f t="shared" si="5"/>
        <v>288</v>
      </c>
      <c r="BA21" s="43">
        <f t="shared" si="5"/>
        <v>288</v>
      </c>
      <c r="BB21" s="43">
        <f t="shared" si="5"/>
        <v>288</v>
      </c>
      <c r="BC21" s="43">
        <f t="shared" si="5"/>
        <v>288</v>
      </c>
      <c r="BD21" s="43">
        <f t="shared" si="5"/>
        <v>288</v>
      </c>
      <c r="BE21" s="43">
        <f t="shared" si="5"/>
        <v>288</v>
      </c>
      <c r="BF21" s="43">
        <f t="shared" si="6"/>
        <v>288</v>
      </c>
      <c r="BG21" s="43">
        <f t="shared" si="6"/>
        <v>288</v>
      </c>
      <c r="BH21" s="43">
        <f t="shared" si="6"/>
        <v>0</v>
      </c>
      <c r="BI21" s="43">
        <f t="shared" si="6"/>
        <v>0</v>
      </c>
      <c r="BJ21" s="43">
        <f t="shared" si="6"/>
        <v>0</v>
      </c>
      <c r="BK21" s="43">
        <f t="shared" si="6"/>
        <v>0</v>
      </c>
      <c r="BL21" s="43">
        <f t="shared" si="6"/>
        <v>0</v>
      </c>
      <c r="BM21" s="43">
        <f t="shared" si="6"/>
        <v>0</v>
      </c>
      <c r="BN21" s="43">
        <f t="shared" si="6"/>
        <v>0</v>
      </c>
      <c r="BO21" s="43">
        <f t="shared" si="6"/>
        <v>0</v>
      </c>
      <c r="BP21" s="43">
        <f t="shared" si="7"/>
        <v>0</v>
      </c>
      <c r="BQ21" s="43">
        <f t="shared" si="7"/>
        <v>0</v>
      </c>
      <c r="BR21" s="43">
        <f t="shared" si="7"/>
        <v>0</v>
      </c>
      <c r="BS21" s="43">
        <f t="shared" si="7"/>
        <v>0</v>
      </c>
      <c r="BT21" s="43">
        <f t="shared" si="7"/>
        <v>0</v>
      </c>
      <c r="BU21" s="43">
        <f t="shared" si="7"/>
        <v>0</v>
      </c>
      <c r="BV21" s="43">
        <f t="shared" si="7"/>
        <v>0</v>
      </c>
      <c r="BW21" s="43">
        <f t="shared" si="7"/>
        <v>0</v>
      </c>
      <c r="BX21" s="43">
        <f t="shared" si="7"/>
        <v>0</v>
      </c>
      <c r="BY21" s="43">
        <f t="shared" si="7"/>
        <v>0</v>
      </c>
      <c r="BZ21" s="43">
        <f t="shared" si="7"/>
        <v>0</v>
      </c>
      <c r="CA21" s="43">
        <f t="shared" si="7"/>
        <v>0</v>
      </c>
    </row>
    <row r="22" spans="1:79" x14ac:dyDescent="0.25">
      <c r="A22" s="35">
        <v>22</v>
      </c>
      <c r="B22" s="8" t="s">
        <v>22</v>
      </c>
      <c r="C22" s="8"/>
      <c r="D22" s="8"/>
      <c r="E22" s="7">
        <v>1018</v>
      </c>
      <c r="F22" s="49">
        <v>384.75986622073589</v>
      </c>
      <c r="G22" s="5" t="s">
        <v>55</v>
      </c>
      <c r="H22" s="10">
        <f t="shared" si="8"/>
        <v>24.375548123374216</v>
      </c>
      <c r="I22" s="49">
        <f>VLOOKUP(B22,База!$B$8:$I$52,3,FALSE)*60</f>
        <v>18</v>
      </c>
      <c r="J22" s="35">
        <v>3</v>
      </c>
      <c r="K22" s="35">
        <f>VLOOKUP(B22,База!$B$8:$I$52,6,FALSE)</f>
        <v>3.5</v>
      </c>
      <c r="L22" s="35">
        <f t="shared" si="0"/>
        <v>216</v>
      </c>
      <c r="M22" s="9">
        <f t="shared" si="1"/>
        <v>24.375548123374216</v>
      </c>
      <c r="N22" s="53">
        <f t="shared" si="13"/>
        <v>502.5445201743384</v>
      </c>
      <c r="O22" s="53">
        <f t="shared" si="14"/>
        <v>526.92006829771265</v>
      </c>
      <c r="P22" s="53">
        <f t="shared" si="15"/>
        <v>24.375548123374244</v>
      </c>
      <c r="Q22" s="53">
        <f t="shared" si="16"/>
        <v>526.92006829771265</v>
      </c>
      <c r="R22" s="43">
        <f t="shared" ref="R22:AA31" si="17">IF($Q22&gt;R$10,IF($Q22-$P22&lt;=R$10,$L22,1),0)</f>
        <v>1</v>
      </c>
      <c r="S22" s="43">
        <f t="shared" si="17"/>
        <v>1</v>
      </c>
      <c r="T22" s="43">
        <f t="shared" si="17"/>
        <v>1</v>
      </c>
      <c r="U22" s="43">
        <f t="shared" si="17"/>
        <v>1</v>
      </c>
      <c r="V22" s="43">
        <f t="shared" si="17"/>
        <v>1</v>
      </c>
      <c r="W22" s="43">
        <f t="shared" si="17"/>
        <v>1</v>
      </c>
      <c r="X22" s="43">
        <f t="shared" si="17"/>
        <v>1</v>
      </c>
      <c r="Y22" s="43">
        <f t="shared" si="17"/>
        <v>1</v>
      </c>
      <c r="Z22" s="43">
        <f t="shared" si="17"/>
        <v>1</v>
      </c>
      <c r="AA22" s="43">
        <f t="shared" si="17"/>
        <v>1</v>
      </c>
      <c r="AB22" s="43">
        <f t="shared" ref="AB22:AK31" si="18">IF($Q22&gt;AB$10,IF($Q22-$P22&lt;=AB$10,$L22,1),0)</f>
        <v>1</v>
      </c>
      <c r="AC22" s="43">
        <f t="shared" si="18"/>
        <v>1</v>
      </c>
      <c r="AD22" s="43">
        <f t="shared" si="18"/>
        <v>1</v>
      </c>
      <c r="AE22" s="43">
        <f t="shared" si="18"/>
        <v>1</v>
      </c>
      <c r="AF22" s="43">
        <f t="shared" si="18"/>
        <v>1</v>
      </c>
      <c r="AG22" s="43">
        <f t="shared" si="18"/>
        <v>1</v>
      </c>
      <c r="AH22" s="43">
        <f t="shared" si="18"/>
        <v>1</v>
      </c>
      <c r="AI22" s="43">
        <f t="shared" si="18"/>
        <v>1</v>
      </c>
      <c r="AJ22" s="43">
        <f t="shared" si="18"/>
        <v>1</v>
      </c>
      <c r="AK22" s="43">
        <f t="shared" si="18"/>
        <v>1</v>
      </c>
      <c r="AL22" s="43">
        <f t="shared" ref="AL22:AU31" si="19">IF($Q22&gt;AL$10,IF($Q22-$P22&lt;=AL$10,$L22,1),0)</f>
        <v>1</v>
      </c>
      <c r="AM22" s="43">
        <f t="shared" si="19"/>
        <v>1</v>
      </c>
      <c r="AN22" s="43">
        <f t="shared" si="19"/>
        <v>1</v>
      </c>
      <c r="AO22" s="43">
        <f t="shared" si="19"/>
        <v>1</v>
      </c>
      <c r="AP22" s="43">
        <f t="shared" si="19"/>
        <v>1</v>
      </c>
      <c r="AQ22" s="43">
        <f t="shared" si="19"/>
        <v>1</v>
      </c>
      <c r="AR22" s="43">
        <f t="shared" si="19"/>
        <v>1</v>
      </c>
      <c r="AS22" s="43">
        <f t="shared" si="19"/>
        <v>1</v>
      </c>
      <c r="AT22" s="43">
        <f t="shared" si="19"/>
        <v>1</v>
      </c>
      <c r="AU22" s="43">
        <f t="shared" si="19"/>
        <v>1</v>
      </c>
      <c r="AV22" s="43">
        <f t="shared" ref="AV22:BE31" si="20">IF($Q22&gt;AV$10,IF($Q22-$P22&lt;=AV$10,$L22,1),0)</f>
        <v>1</v>
      </c>
      <c r="AW22" s="43">
        <f t="shared" si="20"/>
        <v>1</v>
      </c>
      <c r="AX22" s="43">
        <f t="shared" si="20"/>
        <v>1</v>
      </c>
      <c r="AY22" s="43">
        <f t="shared" si="20"/>
        <v>1</v>
      </c>
      <c r="AZ22" s="43">
        <f t="shared" si="20"/>
        <v>1</v>
      </c>
      <c r="BA22" s="43">
        <f t="shared" si="20"/>
        <v>1</v>
      </c>
      <c r="BB22" s="43">
        <f t="shared" si="20"/>
        <v>1</v>
      </c>
      <c r="BC22" s="43">
        <f t="shared" si="20"/>
        <v>1</v>
      </c>
      <c r="BD22" s="43">
        <f t="shared" si="20"/>
        <v>1</v>
      </c>
      <c r="BE22" s="43">
        <f t="shared" si="20"/>
        <v>1</v>
      </c>
      <c r="BF22" s="43">
        <f t="shared" ref="BF22:BO31" si="21">IF($Q22&gt;BF$10,IF($Q22-$P22&lt;=BF$10,$L22,1),0)</f>
        <v>1</v>
      </c>
      <c r="BG22" s="43">
        <f t="shared" si="21"/>
        <v>1</v>
      </c>
      <c r="BH22" s="43">
        <f t="shared" si="21"/>
        <v>216</v>
      </c>
      <c r="BI22" s="43">
        <f t="shared" si="21"/>
        <v>216</v>
      </c>
      <c r="BJ22" s="43">
        <f t="shared" si="21"/>
        <v>0</v>
      </c>
      <c r="BK22" s="43">
        <f t="shared" si="21"/>
        <v>0</v>
      </c>
      <c r="BL22" s="43">
        <f t="shared" si="21"/>
        <v>0</v>
      </c>
      <c r="BM22" s="43">
        <f t="shared" si="21"/>
        <v>0</v>
      </c>
      <c r="BN22" s="43">
        <f t="shared" si="21"/>
        <v>0</v>
      </c>
      <c r="BO22" s="43">
        <f t="shared" si="21"/>
        <v>0</v>
      </c>
      <c r="BP22" s="43">
        <f t="shared" ref="BP22:CA31" si="22">IF($Q22&gt;BP$10,IF($Q22-$P22&lt;=BP$10,$L22,1),0)</f>
        <v>0</v>
      </c>
      <c r="BQ22" s="43">
        <f t="shared" si="22"/>
        <v>0</v>
      </c>
      <c r="BR22" s="43">
        <f t="shared" si="22"/>
        <v>0</v>
      </c>
      <c r="BS22" s="43">
        <f t="shared" si="22"/>
        <v>0</v>
      </c>
      <c r="BT22" s="43">
        <f t="shared" si="22"/>
        <v>0</v>
      </c>
      <c r="BU22" s="43">
        <f t="shared" si="22"/>
        <v>0</v>
      </c>
      <c r="BV22" s="43">
        <f t="shared" si="22"/>
        <v>0</v>
      </c>
      <c r="BW22" s="43">
        <f t="shared" si="22"/>
        <v>0</v>
      </c>
      <c r="BX22" s="43">
        <f t="shared" si="22"/>
        <v>0</v>
      </c>
      <c r="BY22" s="43">
        <f t="shared" si="22"/>
        <v>0</v>
      </c>
      <c r="BZ22" s="43">
        <f t="shared" si="22"/>
        <v>0</v>
      </c>
      <c r="CA22" s="43">
        <f t="shared" si="22"/>
        <v>0</v>
      </c>
    </row>
    <row r="23" spans="1:79" x14ac:dyDescent="0.25">
      <c r="A23" s="35">
        <v>1</v>
      </c>
      <c r="B23" s="8" t="s">
        <v>28</v>
      </c>
      <c r="C23" s="8"/>
      <c r="D23" s="8"/>
      <c r="E23" s="7">
        <v>7038</v>
      </c>
      <c r="F23" s="49">
        <v>500</v>
      </c>
      <c r="G23" s="5" t="s">
        <v>56</v>
      </c>
      <c r="H23" s="10">
        <f t="shared" si="8"/>
        <v>25.80952380952381</v>
      </c>
      <c r="I23" s="49">
        <f>VLOOKUP(B23,База!$B$8:$I$52,3,FALSE)*60</f>
        <v>21</v>
      </c>
      <c r="J23" s="35">
        <v>2</v>
      </c>
      <c r="K23" s="35">
        <f>VLOOKUP(B23,База!$B$8:$I$52,6,FALSE)</f>
        <v>2</v>
      </c>
      <c r="L23" s="35">
        <f>I23*12</f>
        <v>252</v>
      </c>
      <c r="M23" s="9">
        <f t="shared" si="1"/>
        <v>25.80952380952381</v>
      </c>
      <c r="N23" s="60">
        <v>0</v>
      </c>
      <c r="O23" s="60">
        <f>N23+M23</f>
        <v>25.80952380952381</v>
      </c>
      <c r="P23" s="60">
        <f>O23-N23</f>
        <v>25.80952380952381</v>
      </c>
      <c r="Q23" s="60">
        <f>P23</f>
        <v>25.80952380952381</v>
      </c>
      <c r="R23" s="43">
        <f>IF($Q23&gt;R$10,IF($Q23-$P23&lt;=R$10,$L23,1),0)</f>
        <v>252</v>
      </c>
      <c r="S23" s="43">
        <f t="shared" si="17"/>
        <v>252</v>
      </c>
      <c r="T23" s="43">
        <f t="shared" si="17"/>
        <v>252</v>
      </c>
      <c r="U23" s="43">
        <f t="shared" si="17"/>
        <v>0</v>
      </c>
      <c r="V23" s="43">
        <f t="shared" si="17"/>
        <v>0</v>
      </c>
      <c r="W23" s="43">
        <f t="shared" si="17"/>
        <v>0</v>
      </c>
      <c r="X23" s="43">
        <f t="shared" si="17"/>
        <v>0</v>
      </c>
      <c r="Y23" s="43">
        <f t="shared" si="17"/>
        <v>0</v>
      </c>
      <c r="Z23" s="43">
        <f t="shared" si="17"/>
        <v>0</v>
      </c>
      <c r="AA23" s="43">
        <f t="shared" si="17"/>
        <v>0</v>
      </c>
      <c r="AB23" s="43">
        <f t="shared" si="18"/>
        <v>0</v>
      </c>
      <c r="AC23" s="43">
        <f t="shared" si="18"/>
        <v>0</v>
      </c>
      <c r="AD23" s="43">
        <f t="shared" si="18"/>
        <v>0</v>
      </c>
      <c r="AE23" s="43">
        <f t="shared" si="18"/>
        <v>0</v>
      </c>
      <c r="AF23" s="43">
        <f t="shared" si="18"/>
        <v>0</v>
      </c>
      <c r="AG23" s="43">
        <f t="shared" si="18"/>
        <v>0</v>
      </c>
      <c r="AH23" s="43">
        <f t="shared" si="18"/>
        <v>0</v>
      </c>
      <c r="AI23" s="43">
        <f t="shared" si="18"/>
        <v>0</v>
      </c>
      <c r="AJ23" s="43">
        <f t="shared" si="18"/>
        <v>0</v>
      </c>
      <c r="AK23" s="43">
        <f t="shared" si="18"/>
        <v>0</v>
      </c>
      <c r="AL23" s="43">
        <f t="shared" si="19"/>
        <v>0</v>
      </c>
      <c r="AM23" s="43">
        <f t="shared" si="19"/>
        <v>0</v>
      </c>
      <c r="AN23" s="43">
        <f t="shared" si="19"/>
        <v>0</v>
      </c>
      <c r="AO23" s="43">
        <f t="shared" si="19"/>
        <v>0</v>
      </c>
      <c r="AP23" s="43">
        <f t="shared" si="19"/>
        <v>0</v>
      </c>
      <c r="AQ23" s="43">
        <f t="shared" si="19"/>
        <v>0</v>
      </c>
      <c r="AR23" s="43">
        <f t="shared" si="19"/>
        <v>0</v>
      </c>
      <c r="AS23" s="43">
        <f t="shared" si="19"/>
        <v>0</v>
      </c>
      <c r="AT23" s="43">
        <f t="shared" si="19"/>
        <v>0</v>
      </c>
      <c r="AU23" s="43">
        <f t="shared" si="19"/>
        <v>0</v>
      </c>
      <c r="AV23" s="43">
        <f t="shared" si="20"/>
        <v>0</v>
      </c>
      <c r="AW23" s="43">
        <f t="shared" si="20"/>
        <v>0</v>
      </c>
      <c r="AX23" s="43">
        <f t="shared" si="20"/>
        <v>0</v>
      </c>
      <c r="AY23" s="43">
        <f t="shared" si="20"/>
        <v>0</v>
      </c>
      <c r="AZ23" s="43">
        <f t="shared" si="20"/>
        <v>0</v>
      </c>
      <c r="BA23" s="43">
        <f t="shared" si="20"/>
        <v>0</v>
      </c>
      <c r="BB23" s="43">
        <f t="shared" si="20"/>
        <v>0</v>
      </c>
      <c r="BC23" s="43">
        <f t="shared" si="20"/>
        <v>0</v>
      </c>
      <c r="BD23" s="43">
        <f t="shared" si="20"/>
        <v>0</v>
      </c>
      <c r="BE23" s="43">
        <f t="shared" si="20"/>
        <v>0</v>
      </c>
      <c r="BF23" s="43">
        <f t="shared" si="21"/>
        <v>0</v>
      </c>
      <c r="BG23" s="43">
        <f t="shared" si="21"/>
        <v>0</v>
      </c>
      <c r="BH23" s="43">
        <f t="shared" si="21"/>
        <v>0</v>
      </c>
      <c r="BI23" s="43">
        <f t="shared" si="21"/>
        <v>0</v>
      </c>
      <c r="BJ23" s="43">
        <f t="shared" si="21"/>
        <v>0</v>
      </c>
      <c r="BK23" s="43">
        <f t="shared" si="21"/>
        <v>0</v>
      </c>
      <c r="BL23" s="43">
        <f t="shared" si="21"/>
        <v>0</v>
      </c>
      <c r="BM23" s="43">
        <f t="shared" si="21"/>
        <v>0</v>
      </c>
      <c r="BN23" s="43">
        <f t="shared" si="21"/>
        <v>0</v>
      </c>
      <c r="BO23" s="43">
        <f t="shared" si="21"/>
        <v>0</v>
      </c>
      <c r="BP23" s="43">
        <f t="shared" si="22"/>
        <v>0</v>
      </c>
      <c r="BQ23" s="43">
        <f t="shared" si="22"/>
        <v>0</v>
      </c>
      <c r="BR23" s="43">
        <f t="shared" si="22"/>
        <v>0</v>
      </c>
      <c r="BS23" s="43">
        <f t="shared" si="22"/>
        <v>0</v>
      </c>
      <c r="BT23" s="43">
        <f t="shared" si="22"/>
        <v>0</v>
      </c>
      <c r="BU23" s="43">
        <f t="shared" si="22"/>
        <v>0</v>
      </c>
      <c r="BV23" s="43">
        <f t="shared" si="22"/>
        <v>0</v>
      </c>
      <c r="BW23" s="43">
        <f t="shared" si="22"/>
        <v>0</v>
      </c>
      <c r="BX23" s="43">
        <f t="shared" si="22"/>
        <v>0</v>
      </c>
      <c r="BY23" s="43">
        <f t="shared" si="22"/>
        <v>0</v>
      </c>
      <c r="BZ23" s="43">
        <f t="shared" si="22"/>
        <v>0</v>
      </c>
      <c r="CA23" s="43">
        <f t="shared" si="22"/>
        <v>0</v>
      </c>
    </row>
    <row r="24" spans="1:79" x14ac:dyDescent="0.25">
      <c r="A24" s="35">
        <v>2</v>
      </c>
      <c r="B24" s="8" t="s">
        <v>28</v>
      </c>
      <c r="C24" s="8"/>
      <c r="D24" s="8"/>
      <c r="E24" s="7">
        <v>1018</v>
      </c>
      <c r="F24" s="49">
        <v>500</v>
      </c>
      <c r="G24" s="5" t="s">
        <v>56</v>
      </c>
      <c r="H24" s="10">
        <f t="shared" si="8"/>
        <v>26.80952380952381</v>
      </c>
      <c r="I24" s="49">
        <f>VLOOKUP(B24,База!$B$8:$I$52,3,FALSE)*60</f>
        <v>21</v>
      </c>
      <c r="J24" s="35">
        <v>3</v>
      </c>
      <c r="K24" s="35">
        <f>VLOOKUP(B24,База!$B$8:$I$52,6,FALSE)</f>
        <v>2</v>
      </c>
      <c r="L24" s="35">
        <f t="shared" si="0"/>
        <v>252</v>
      </c>
      <c r="M24" s="9">
        <f t="shared" si="1"/>
        <v>26.80952380952381</v>
      </c>
      <c r="N24" s="53">
        <f t="shared" si="13"/>
        <v>25.80952380952381</v>
      </c>
      <c r="O24" s="53">
        <f t="shared" si="14"/>
        <v>52.61904761904762</v>
      </c>
      <c r="P24" s="53">
        <f t="shared" si="15"/>
        <v>26.80952380952381</v>
      </c>
      <c r="Q24" s="53">
        <f t="shared" si="16"/>
        <v>52.61904761904762</v>
      </c>
      <c r="R24" s="43">
        <f t="shared" si="17"/>
        <v>1</v>
      </c>
      <c r="S24" s="43">
        <f t="shared" si="17"/>
        <v>1</v>
      </c>
      <c r="T24" s="43">
        <f t="shared" si="17"/>
        <v>1</v>
      </c>
      <c r="U24" s="43">
        <f t="shared" si="17"/>
        <v>252</v>
      </c>
      <c r="V24" s="43">
        <f t="shared" si="17"/>
        <v>252</v>
      </c>
      <c r="W24" s="43">
        <f t="shared" si="17"/>
        <v>0</v>
      </c>
      <c r="X24" s="43">
        <f t="shared" si="17"/>
        <v>0</v>
      </c>
      <c r="Y24" s="43">
        <f t="shared" si="17"/>
        <v>0</v>
      </c>
      <c r="Z24" s="43">
        <f t="shared" si="17"/>
        <v>0</v>
      </c>
      <c r="AA24" s="43">
        <f t="shared" si="17"/>
        <v>0</v>
      </c>
      <c r="AB24" s="43">
        <f t="shared" si="18"/>
        <v>0</v>
      </c>
      <c r="AC24" s="43">
        <f t="shared" si="18"/>
        <v>0</v>
      </c>
      <c r="AD24" s="43">
        <f t="shared" si="18"/>
        <v>0</v>
      </c>
      <c r="AE24" s="43">
        <f t="shared" si="18"/>
        <v>0</v>
      </c>
      <c r="AF24" s="43">
        <f t="shared" si="18"/>
        <v>0</v>
      </c>
      <c r="AG24" s="43">
        <f t="shared" si="18"/>
        <v>0</v>
      </c>
      <c r="AH24" s="43">
        <f t="shared" si="18"/>
        <v>0</v>
      </c>
      <c r="AI24" s="43">
        <f t="shared" si="18"/>
        <v>0</v>
      </c>
      <c r="AJ24" s="43">
        <f t="shared" si="18"/>
        <v>0</v>
      </c>
      <c r="AK24" s="43">
        <f t="shared" si="18"/>
        <v>0</v>
      </c>
      <c r="AL24" s="43">
        <f t="shared" si="19"/>
        <v>0</v>
      </c>
      <c r="AM24" s="43">
        <f t="shared" si="19"/>
        <v>0</v>
      </c>
      <c r="AN24" s="43">
        <f t="shared" si="19"/>
        <v>0</v>
      </c>
      <c r="AO24" s="43">
        <f t="shared" si="19"/>
        <v>0</v>
      </c>
      <c r="AP24" s="43">
        <f t="shared" si="19"/>
        <v>0</v>
      </c>
      <c r="AQ24" s="43">
        <f t="shared" si="19"/>
        <v>0</v>
      </c>
      <c r="AR24" s="43">
        <f t="shared" si="19"/>
        <v>0</v>
      </c>
      <c r="AS24" s="43">
        <f t="shared" si="19"/>
        <v>0</v>
      </c>
      <c r="AT24" s="43">
        <f t="shared" si="19"/>
        <v>0</v>
      </c>
      <c r="AU24" s="43">
        <f t="shared" si="19"/>
        <v>0</v>
      </c>
      <c r="AV24" s="43">
        <f t="shared" si="20"/>
        <v>0</v>
      </c>
      <c r="AW24" s="43">
        <f t="shared" si="20"/>
        <v>0</v>
      </c>
      <c r="AX24" s="43">
        <f t="shared" si="20"/>
        <v>0</v>
      </c>
      <c r="AY24" s="43">
        <f t="shared" si="20"/>
        <v>0</v>
      </c>
      <c r="AZ24" s="43">
        <f t="shared" si="20"/>
        <v>0</v>
      </c>
      <c r="BA24" s="43">
        <f t="shared" si="20"/>
        <v>0</v>
      </c>
      <c r="BB24" s="43">
        <f t="shared" si="20"/>
        <v>0</v>
      </c>
      <c r="BC24" s="43">
        <f t="shared" si="20"/>
        <v>0</v>
      </c>
      <c r="BD24" s="43">
        <f t="shared" si="20"/>
        <v>0</v>
      </c>
      <c r="BE24" s="43">
        <f t="shared" si="20"/>
        <v>0</v>
      </c>
      <c r="BF24" s="43">
        <f t="shared" si="21"/>
        <v>0</v>
      </c>
      <c r="BG24" s="43">
        <f t="shared" si="21"/>
        <v>0</v>
      </c>
      <c r="BH24" s="43">
        <f t="shared" si="21"/>
        <v>0</v>
      </c>
      <c r="BI24" s="43">
        <f t="shared" si="21"/>
        <v>0</v>
      </c>
      <c r="BJ24" s="43">
        <f t="shared" si="21"/>
        <v>0</v>
      </c>
      <c r="BK24" s="43">
        <f t="shared" si="21"/>
        <v>0</v>
      </c>
      <c r="BL24" s="43">
        <f t="shared" si="21"/>
        <v>0</v>
      </c>
      <c r="BM24" s="43">
        <f t="shared" si="21"/>
        <v>0</v>
      </c>
      <c r="BN24" s="43">
        <f t="shared" si="21"/>
        <v>0</v>
      </c>
      <c r="BO24" s="43">
        <f t="shared" si="21"/>
        <v>0</v>
      </c>
      <c r="BP24" s="43">
        <f t="shared" si="22"/>
        <v>0</v>
      </c>
      <c r="BQ24" s="43">
        <f t="shared" si="22"/>
        <v>0</v>
      </c>
      <c r="BR24" s="43">
        <f t="shared" si="22"/>
        <v>0</v>
      </c>
      <c r="BS24" s="43">
        <f t="shared" si="22"/>
        <v>0</v>
      </c>
      <c r="BT24" s="43">
        <f t="shared" si="22"/>
        <v>0</v>
      </c>
      <c r="BU24" s="43">
        <f t="shared" si="22"/>
        <v>0</v>
      </c>
      <c r="BV24" s="43">
        <f t="shared" si="22"/>
        <v>0</v>
      </c>
      <c r="BW24" s="43">
        <f t="shared" si="22"/>
        <v>0</v>
      </c>
      <c r="BX24" s="43">
        <f t="shared" si="22"/>
        <v>0</v>
      </c>
      <c r="BY24" s="43">
        <f t="shared" si="22"/>
        <v>0</v>
      </c>
      <c r="BZ24" s="43">
        <f t="shared" si="22"/>
        <v>0</v>
      </c>
      <c r="CA24" s="43">
        <f t="shared" si="22"/>
        <v>0</v>
      </c>
    </row>
    <row r="25" spans="1:79" x14ac:dyDescent="0.25">
      <c r="A25" s="35">
        <v>3</v>
      </c>
      <c r="B25" s="8" t="s">
        <v>6</v>
      </c>
      <c r="C25" s="8"/>
      <c r="D25" s="8"/>
      <c r="E25" s="7">
        <v>1018</v>
      </c>
      <c r="F25" s="49">
        <v>2723.4508900000005</v>
      </c>
      <c r="G25" s="5" t="s">
        <v>56</v>
      </c>
      <c r="H25" s="10">
        <f t="shared" si="8"/>
        <v>133.08813761904764</v>
      </c>
      <c r="I25" s="49">
        <f>VLOOKUP(B25,База!$B$8:$I$52,3,FALSE)*60</f>
        <v>21</v>
      </c>
      <c r="J25" s="35">
        <v>3.4</v>
      </c>
      <c r="K25" s="35">
        <f>VLOOKUP(B25,База!$B$8:$I$52,6,FALSE)</f>
        <v>3</v>
      </c>
      <c r="L25" s="35">
        <f t="shared" si="0"/>
        <v>252</v>
      </c>
      <c r="M25" s="9">
        <f t="shared" si="1"/>
        <v>133.08813761904764</v>
      </c>
      <c r="N25" s="53">
        <f t="shared" si="13"/>
        <v>52.61904761904762</v>
      </c>
      <c r="O25" s="53">
        <f t="shared" si="14"/>
        <v>185.70718523809526</v>
      </c>
      <c r="P25" s="53">
        <f t="shared" si="15"/>
        <v>133.08813761904764</v>
      </c>
      <c r="Q25" s="53">
        <f t="shared" si="16"/>
        <v>185.70718523809526</v>
      </c>
      <c r="R25" s="43">
        <f t="shared" si="17"/>
        <v>1</v>
      </c>
      <c r="S25" s="43">
        <f t="shared" si="17"/>
        <v>1</v>
      </c>
      <c r="T25" s="43">
        <f t="shared" si="17"/>
        <v>1</v>
      </c>
      <c r="U25" s="43">
        <f t="shared" si="17"/>
        <v>1</v>
      </c>
      <c r="V25" s="43">
        <f t="shared" si="17"/>
        <v>1</v>
      </c>
      <c r="W25" s="43">
        <f t="shared" si="17"/>
        <v>252</v>
      </c>
      <c r="X25" s="43">
        <f t="shared" si="17"/>
        <v>252</v>
      </c>
      <c r="Y25" s="43">
        <f t="shared" si="17"/>
        <v>252</v>
      </c>
      <c r="Z25" s="43">
        <f t="shared" si="17"/>
        <v>252</v>
      </c>
      <c r="AA25" s="43">
        <f t="shared" si="17"/>
        <v>252</v>
      </c>
      <c r="AB25" s="43">
        <f t="shared" si="18"/>
        <v>252</v>
      </c>
      <c r="AC25" s="43">
        <f t="shared" si="18"/>
        <v>252</v>
      </c>
      <c r="AD25" s="43">
        <f t="shared" si="18"/>
        <v>252</v>
      </c>
      <c r="AE25" s="43">
        <f t="shared" si="18"/>
        <v>252</v>
      </c>
      <c r="AF25" s="43">
        <f t="shared" si="18"/>
        <v>252</v>
      </c>
      <c r="AG25" s="43">
        <f t="shared" si="18"/>
        <v>252</v>
      </c>
      <c r="AH25" s="43">
        <f t="shared" si="18"/>
        <v>0</v>
      </c>
      <c r="AI25" s="43">
        <f t="shared" si="18"/>
        <v>0</v>
      </c>
      <c r="AJ25" s="43">
        <f t="shared" si="18"/>
        <v>0</v>
      </c>
      <c r="AK25" s="43">
        <f t="shared" si="18"/>
        <v>0</v>
      </c>
      <c r="AL25" s="43">
        <f t="shared" si="19"/>
        <v>0</v>
      </c>
      <c r="AM25" s="43">
        <f t="shared" si="19"/>
        <v>0</v>
      </c>
      <c r="AN25" s="43">
        <f t="shared" si="19"/>
        <v>0</v>
      </c>
      <c r="AO25" s="43">
        <f t="shared" si="19"/>
        <v>0</v>
      </c>
      <c r="AP25" s="43">
        <f t="shared" si="19"/>
        <v>0</v>
      </c>
      <c r="AQ25" s="43">
        <f t="shared" si="19"/>
        <v>0</v>
      </c>
      <c r="AR25" s="43">
        <f t="shared" si="19"/>
        <v>0</v>
      </c>
      <c r="AS25" s="43">
        <f t="shared" si="19"/>
        <v>0</v>
      </c>
      <c r="AT25" s="43">
        <f t="shared" si="19"/>
        <v>0</v>
      </c>
      <c r="AU25" s="43">
        <f t="shared" si="19"/>
        <v>0</v>
      </c>
      <c r="AV25" s="43">
        <f t="shared" si="20"/>
        <v>0</v>
      </c>
      <c r="AW25" s="43">
        <f t="shared" si="20"/>
        <v>0</v>
      </c>
      <c r="AX25" s="43">
        <f t="shared" si="20"/>
        <v>0</v>
      </c>
      <c r="AY25" s="43">
        <f t="shared" si="20"/>
        <v>0</v>
      </c>
      <c r="AZ25" s="43">
        <f t="shared" si="20"/>
        <v>0</v>
      </c>
      <c r="BA25" s="43">
        <f t="shared" si="20"/>
        <v>0</v>
      </c>
      <c r="BB25" s="43">
        <f t="shared" si="20"/>
        <v>0</v>
      </c>
      <c r="BC25" s="43">
        <f t="shared" si="20"/>
        <v>0</v>
      </c>
      <c r="BD25" s="43">
        <f t="shared" si="20"/>
        <v>0</v>
      </c>
      <c r="BE25" s="43">
        <f t="shared" si="20"/>
        <v>0</v>
      </c>
      <c r="BF25" s="43">
        <f t="shared" si="21"/>
        <v>0</v>
      </c>
      <c r="BG25" s="43">
        <f t="shared" si="21"/>
        <v>0</v>
      </c>
      <c r="BH25" s="43">
        <f t="shared" si="21"/>
        <v>0</v>
      </c>
      <c r="BI25" s="43">
        <f t="shared" si="21"/>
        <v>0</v>
      </c>
      <c r="BJ25" s="43">
        <f t="shared" si="21"/>
        <v>0</v>
      </c>
      <c r="BK25" s="43">
        <f t="shared" si="21"/>
        <v>0</v>
      </c>
      <c r="BL25" s="43">
        <f t="shared" si="21"/>
        <v>0</v>
      </c>
      <c r="BM25" s="43">
        <f t="shared" si="21"/>
        <v>0</v>
      </c>
      <c r="BN25" s="43">
        <f t="shared" si="21"/>
        <v>0</v>
      </c>
      <c r="BO25" s="43">
        <f t="shared" si="21"/>
        <v>0</v>
      </c>
      <c r="BP25" s="43">
        <f t="shared" si="22"/>
        <v>0</v>
      </c>
      <c r="BQ25" s="43">
        <f t="shared" si="22"/>
        <v>0</v>
      </c>
      <c r="BR25" s="43">
        <f t="shared" si="22"/>
        <v>0</v>
      </c>
      <c r="BS25" s="43">
        <f t="shared" si="22"/>
        <v>0</v>
      </c>
      <c r="BT25" s="43">
        <f t="shared" si="22"/>
        <v>0</v>
      </c>
      <c r="BU25" s="43">
        <f t="shared" si="22"/>
        <v>0</v>
      </c>
      <c r="BV25" s="43">
        <f t="shared" si="22"/>
        <v>0</v>
      </c>
      <c r="BW25" s="43">
        <f t="shared" si="22"/>
        <v>0</v>
      </c>
      <c r="BX25" s="43">
        <f t="shared" si="22"/>
        <v>0</v>
      </c>
      <c r="BY25" s="43">
        <f t="shared" si="22"/>
        <v>0</v>
      </c>
      <c r="BZ25" s="43">
        <f t="shared" si="22"/>
        <v>0</v>
      </c>
      <c r="CA25" s="43">
        <f t="shared" si="22"/>
        <v>0</v>
      </c>
    </row>
    <row r="26" spans="1:79" x14ac:dyDescent="0.25">
      <c r="A26" s="35">
        <v>4</v>
      </c>
      <c r="B26" s="8" t="s">
        <v>5</v>
      </c>
      <c r="C26" s="8"/>
      <c r="D26" s="8"/>
      <c r="E26" s="7">
        <v>1018</v>
      </c>
      <c r="F26" s="49">
        <v>2874.7452471482893</v>
      </c>
      <c r="G26" s="5" t="s">
        <v>56</v>
      </c>
      <c r="H26" s="10">
        <f t="shared" si="8"/>
        <v>140.69263081658522</v>
      </c>
      <c r="I26" s="49">
        <f>VLOOKUP(B26,База!$B$8:$I$52,3,FALSE)*60</f>
        <v>21</v>
      </c>
      <c r="J26" s="35">
        <v>3.8</v>
      </c>
      <c r="K26" s="35">
        <f>VLOOKUP(B26,База!$B$8:$I$52,6,FALSE)</f>
        <v>2</v>
      </c>
      <c r="L26" s="35">
        <f t="shared" si="0"/>
        <v>252</v>
      </c>
      <c r="M26" s="9">
        <f t="shared" si="1"/>
        <v>140.69263081658522</v>
      </c>
      <c r="N26" s="53">
        <f t="shared" si="13"/>
        <v>185.70718523809526</v>
      </c>
      <c r="O26" s="53">
        <f t="shared" si="14"/>
        <v>326.39981605468051</v>
      </c>
      <c r="P26" s="53">
        <f t="shared" si="15"/>
        <v>140.69263081658525</v>
      </c>
      <c r="Q26" s="53">
        <f t="shared" si="16"/>
        <v>326.39981605468051</v>
      </c>
      <c r="R26" s="43">
        <f t="shared" si="17"/>
        <v>1</v>
      </c>
      <c r="S26" s="43">
        <f t="shared" si="17"/>
        <v>1</v>
      </c>
      <c r="T26" s="43">
        <f t="shared" si="17"/>
        <v>1</v>
      </c>
      <c r="U26" s="43">
        <f t="shared" si="17"/>
        <v>1</v>
      </c>
      <c r="V26" s="43">
        <f t="shared" si="17"/>
        <v>1</v>
      </c>
      <c r="W26" s="43">
        <f t="shared" si="17"/>
        <v>1</v>
      </c>
      <c r="X26" s="43">
        <f t="shared" si="17"/>
        <v>1</v>
      </c>
      <c r="Y26" s="43">
        <f t="shared" si="17"/>
        <v>1</v>
      </c>
      <c r="Z26" s="43">
        <f t="shared" si="17"/>
        <v>1</v>
      </c>
      <c r="AA26" s="43">
        <f t="shared" si="17"/>
        <v>1</v>
      </c>
      <c r="AB26" s="43">
        <f t="shared" si="18"/>
        <v>1</v>
      </c>
      <c r="AC26" s="43">
        <f t="shared" si="18"/>
        <v>1</v>
      </c>
      <c r="AD26" s="43">
        <f t="shared" si="18"/>
        <v>1</v>
      </c>
      <c r="AE26" s="43">
        <f t="shared" si="18"/>
        <v>1</v>
      </c>
      <c r="AF26" s="43">
        <f t="shared" si="18"/>
        <v>1</v>
      </c>
      <c r="AG26" s="43">
        <f t="shared" si="18"/>
        <v>1</v>
      </c>
      <c r="AH26" s="43">
        <f t="shared" si="18"/>
        <v>252</v>
      </c>
      <c r="AI26" s="43">
        <f t="shared" si="18"/>
        <v>252</v>
      </c>
      <c r="AJ26" s="43">
        <f t="shared" si="18"/>
        <v>252</v>
      </c>
      <c r="AK26" s="43">
        <f t="shared" si="18"/>
        <v>252</v>
      </c>
      <c r="AL26" s="43">
        <f t="shared" si="19"/>
        <v>252</v>
      </c>
      <c r="AM26" s="43">
        <f t="shared" si="19"/>
        <v>252</v>
      </c>
      <c r="AN26" s="43">
        <f t="shared" si="19"/>
        <v>252</v>
      </c>
      <c r="AO26" s="43">
        <f t="shared" si="19"/>
        <v>252</v>
      </c>
      <c r="AP26" s="43">
        <f t="shared" si="19"/>
        <v>252</v>
      </c>
      <c r="AQ26" s="43">
        <f t="shared" si="19"/>
        <v>252</v>
      </c>
      <c r="AR26" s="43">
        <f t="shared" si="19"/>
        <v>252</v>
      </c>
      <c r="AS26" s="43">
        <f t="shared" si="19"/>
        <v>252</v>
      </c>
      <c r="AT26" s="43">
        <f t="shared" si="19"/>
        <v>0</v>
      </c>
      <c r="AU26" s="43">
        <f t="shared" si="19"/>
        <v>0</v>
      </c>
      <c r="AV26" s="43">
        <f t="shared" si="20"/>
        <v>0</v>
      </c>
      <c r="AW26" s="43">
        <f t="shared" si="20"/>
        <v>0</v>
      </c>
      <c r="AX26" s="43">
        <f t="shared" si="20"/>
        <v>0</v>
      </c>
      <c r="AY26" s="43">
        <f t="shared" si="20"/>
        <v>0</v>
      </c>
      <c r="AZ26" s="43">
        <f t="shared" si="20"/>
        <v>0</v>
      </c>
      <c r="BA26" s="43">
        <f t="shared" si="20"/>
        <v>0</v>
      </c>
      <c r="BB26" s="43">
        <f t="shared" si="20"/>
        <v>0</v>
      </c>
      <c r="BC26" s="43">
        <f t="shared" si="20"/>
        <v>0</v>
      </c>
      <c r="BD26" s="43">
        <f t="shared" si="20"/>
        <v>0</v>
      </c>
      <c r="BE26" s="43">
        <f t="shared" si="20"/>
        <v>0</v>
      </c>
      <c r="BF26" s="43">
        <f t="shared" si="21"/>
        <v>0</v>
      </c>
      <c r="BG26" s="43">
        <f t="shared" si="21"/>
        <v>0</v>
      </c>
      <c r="BH26" s="43">
        <f t="shared" si="21"/>
        <v>0</v>
      </c>
      <c r="BI26" s="43">
        <f t="shared" si="21"/>
        <v>0</v>
      </c>
      <c r="BJ26" s="43">
        <f t="shared" si="21"/>
        <v>0</v>
      </c>
      <c r="BK26" s="43">
        <f t="shared" si="21"/>
        <v>0</v>
      </c>
      <c r="BL26" s="43">
        <f t="shared" si="21"/>
        <v>0</v>
      </c>
      <c r="BM26" s="43">
        <f t="shared" si="21"/>
        <v>0</v>
      </c>
      <c r="BN26" s="43">
        <f t="shared" si="21"/>
        <v>0</v>
      </c>
      <c r="BO26" s="43">
        <f t="shared" si="21"/>
        <v>0</v>
      </c>
      <c r="BP26" s="43">
        <f t="shared" si="22"/>
        <v>0</v>
      </c>
      <c r="BQ26" s="43">
        <f t="shared" si="22"/>
        <v>0</v>
      </c>
      <c r="BR26" s="43">
        <f t="shared" si="22"/>
        <v>0</v>
      </c>
      <c r="BS26" s="43">
        <f t="shared" si="22"/>
        <v>0</v>
      </c>
      <c r="BT26" s="43">
        <f t="shared" si="22"/>
        <v>0</v>
      </c>
      <c r="BU26" s="43">
        <f t="shared" si="22"/>
        <v>0</v>
      </c>
      <c r="BV26" s="43">
        <f t="shared" si="22"/>
        <v>0</v>
      </c>
      <c r="BW26" s="43">
        <f t="shared" si="22"/>
        <v>0</v>
      </c>
      <c r="BX26" s="43">
        <f t="shared" si="22"/>
        <v>0</v>
      </c>
      <c r="BY26" s="43">
        <f t="shared" si="22"/>
        <v>0</v>
      </c>
      <c r="BZ26" s="43">
        <f t="shared" si="22"/>
        <v>0</v>
      </c>
      <c r="CA26" s="43">
        <f t="shared" si="22"/>
        <v>0</v>
      </c>
    </row>
    <row r="27" spans="1:79" x14ac:dyDescent="0.25">
      <c r="A27" s="35">
        <v>12</v>
      </c>
      <c r="B27" s="8" t="s">
        <v>12</v>
      </c>
      <c r="C27" s="8"/>
      <c r="D27" s="8"/>
      <c r="E27" s="7">
        <v>1018</v>
      </c>
      <c r="F27" s="49">
        <v>513.58675571976687</v>
      </c>
      <c r="G27" s="5" t="s">
        <v>56</v>
      </c>
      <c r="H27" s="10">
        <f t="shared" si="8"/>
        <v>61.265195079974099</v>
      </c>
      <c r="I27" s="49">
        <f>VLOOKUP(B27,База!$B$8:$I$52,3,FALSE)*60</f>
        <v>9</v>
      </c>
      <c r="J27" s="35">
        <v>4.2</v>
      </c>
      <c r="K27" s="35">
        <f>VLOOKUP(B27,База!$B$8:$I$52,6,FALSE)</f>
        <v>4</v>
      </c>
      <c r="L27" s="35">
        <f t="shared" si="0"/>
        <v>108</v>
      </c>
      <c r="M27" s="9">
        <f t="shared" si="1"/>
        <v>61.265195079974099</v>
      </c>
      <c r="N27" s="53">
        <f t="shared" si="13"/>
        <v>326.39981605468051</v>
      </c>
      <c r="O27" s="53">
        <f t="shared" si="14"/>
        <v>387.66501113465461</v>
      </c>
      <c r="P27" s="53">
        <f t="shared" si="15"/>
        <v>61.265195079974092</v>
      </c>
      <c r="Q27" s="53">
        <f t="shared" si="16"/>
        <v>387.66501113465461</v>
      </c>
      <c r="R27" s="43">
        <f t="shared" si="17"/>
        <v>1</v>
      </c>
      <c r="S27" s="43">
        <f t="shared" si="17"/>
        <v>1</v>
      </c>
      <c r="T27" s="43">
        <f t="shared" si="17"/>
        <v>1</v>
      </c>
      <c r="U27" s="43">
        <f t="shared" si="17"/>
        <v>1</v>
      </c>
      <c r="V27" s="43">
        <f t="shared" si="17"/>
        <v>1</v>
      </c>
      <c r="W27" s="43">
        <f t="shared" si="17"/>
        <v>1</v>
      </c>
      <c r="X27" s="43">
        <f t="shared" si="17"/>
        <v>1</v>
      </c>
      <c r="Y27" s="43">
        <f t="shared" si="17"/>
        <v>1</v>
      </c>
      <c r="Z27" s="43">
        <f t="shared" si="17"/>
        <v>1</v>
      </c>
      <c r="AA27" s="43">
        <f t="shared" si="17"/>
        <v>1</v>
      </c>
      <c r="AB27" s="43">
        <f t="shared" si="18"/>
        <v>1</v>
      </c>
      <c r="AC27" s="43">
        <f t="shared" si="18"/>
        <v>1</v>
      </c>
      <c r="AD27" s="43">
        <f t="shared" si="18"/>
        <v>1</v>
      </c>
      <c r="AE27" s="43">
        <f t="shared" si="18"/>
        <v>1</v>
      </c>
      <c r="AF27" s="43">
        <f t="shared" si="18"/>
        <v>1</v>
      </c>
      <c r="AG27" s="43">
        <f t="shared" si="18"/>
        <v>1</v>
      </c>
      <c r="AH27" s="43">
        <f t="shared" si="18"/>
        <v>1</v>
      </c>
      <c r="AI27" s="43">
        <f t="shared" si="18"/>
        <v>1</v>
      </c>
      <c r="AJ27" s="43">
        <f t="shared" si="18"/>
        <v>1</v>
      </c>
      <c r="AK27" s="43">
        <f t="shared" si="18"/>
        <v>1</v>
      </c>
      <c r="AL27" s="43">
        <f t="shared" si="19"/>
        <v>1</v>
      </c>
      <c r="AM27" s="43">
        <f t="shared" si="19"/>
        <v>1</v>
      </c>
      <c r="AN27" s="43">
        <f t="shared" si="19"/>
        <v>1</v>
      </c>
      <c r="AO27" s="43">
        <f t="shared" si="19"/>
        <v>1</v>
      </c>
      <c r="AP27" s="43">
        <f t="shared" si="19"/>
        <v>1</v>
      </c>
      <c r="AQ27" s="43">
        <f t="shared" si="19"/>
        <v>1</v>
      </c>
      <c r="AR27" s="43">
        <f t="shared" si="19"/>
        <v>1</v>
      </c>
      <c r="AS27" s="43">
        <f t="shared" si="19"/>
        <v>1</v>
      </c>
      <c r="AT27" s="43">
        <f t="shared" si="19"/>
        <v>108</v>
      </c>
      <c r="AU27" s="43">
        <f t="shared" si="19"/>
        <v>108</v>
      </c>
      <c r="AV27" s="43">
        <f t="shared" si="20"/>
        <v>108</v>
      </c>
      <c r="AW27" s="43">
        <f t="shared" si="20"/>
        <v>108</v>
      </c>
      <c r="AX27" s="43">
        <f t="shared" si="20"/>
        <v>108</v>
      </c>
      <c r="AY27" s="43">
        <f t="shared" si="20"/>
        <v>0</v>
      </c>
      <c r="AZ27" s="43">
        <f t="shared" si="20"/>
        <v>0</v>
      </c>
      <c r="BA27" s="43">
        <f t="shared" si="20"/>
        <v>0</v>
      </c>
      <c r="BB27" s="43">
        <f t="shared" si="20"/>
        <v>0</v>
      </c>
      <c r="BC27" s="43">
        <f t="shared" si="20"/>
        <v>0</v>
      </c>
      <c r="BD27" s="43">
        <f t="shared" si="20"/>
        <v>0</v>
      </c>
      <c r="BE27" s="43">
        <f t="shared" si="20"/>
        <v>0</v>
      </c>
      <c r="BF27" s="43">
        <f t="shared" si="21"/>
        <v>0</v>
      </c>
      <c r="BG27" s="43">
        <f t="shared" si="21"/>
        <v>0</v>
      </c>
      <c r="BH27" s="43">
        <f t="shared" si="21"/>
        <v>0</v>
      </c>
      <c r="BI27" s="43">
        <f t="shared" si="21"/>
        <v>0</v>
      </c>
      <c r="BJ27" s="43">
        <f t="shared" si="21"/>
        <v>0</v>
      </c>
      <c r="BK27" s="43">
        <f t="shared" si="21"/>
        <v>0</v>
      </c>
      <c r="BL27" s="43">
        <f t="shared" si="21"/>
        <v>0</v>
      </c>
      <c r="BM27" s="43">
        <f t="shared" si="21"/>
        <v>0</v>
      </c>
      <c r="BN27" s="43">
        <f t="shared" si="21"/>
        <v>0</v>
      </c>
      <c r="BO27" s="43">
        <f t="shared" si="21"/>
        <v>0</v>
      </c>
      <c r="BP27" s="43">
        <f t="shared" si="22"/>
        <v>0</v>
      </c>
      <c r="BQ27" s="43">
        <f t="shared" si="22"/>
        <v>0</v>
      </c>
      <c r="BR27" s="43">
        <f t="shared" si="22"/>
        <v>0</v>
      </c>
      <c r="BS27" s="43">
        <f t="shared" si="22"/>
        <v>0</v>
      </c>
      <c r="BT27" s="43">
        <f t="shared" si="22"/>
        <v>0</v>
      </c>
      <c r="BU27" s="43">
        <f t="shared" si="22"/>
        <v>0</v>
      </c>
      <c r="BV27" s="43">
        <f t="shared" si="22"/>
        <v>0</v>
      </c>
      <c r="BW27" s="43">
        <f t="shared" si="22"/>
        <v>0</v>
      </c>
      <c r="BX27" s="43">
        <f t="shared" si="22"/>
        <v>0</v>
      </c>
      <c r="BY27" s="43">
        <f t="shared" si="22"/>
        <v>0</v>
      </c>
      <c r="BZ27" s="43">
        <f t="shared" si="22"/>
        <v>0</v>
      </c>
      <c r="CA27" s="43">
        <f t="shared" si="22"/>
        <v>0</v>
      </c>
    </row>
    <row r="28" spans="1:79" x14ac:dyDescent="0.25">
      <c r="A28" s="35">
        <v>13</v>
      </c>
      <c r="B28" s="8" t="s">
        <v>10</v>
      </c>
      <c r="C28" s="8"/>
      <c r="D28" s="8"/>
      <c r="E28" s="7">
        <v>1018</v>
      </c>
      <c r="F28" s="49">
        <v>53.511705685618722</v>
      </c>
      <c r="G28" s="5" t="s">
        <v>56</v>
      </c>
      <c r="H28" s="10">
        <f t="shared" si="8"/>
        <v>7.5728725380899284</v>
      </c>
      <c r="I28" s="49">
        <f>VLOOKUP(B28,База!$B$8:$I$52,3,FALSE)*60</f>
        <v>18</v>
      </c>
      <c r="J28" s="35">
        <v>4.5999999999999996</v>
      </c>
      <c r="K28" s="35">
        <f>VLOOKUP(B28,База!$B$8:$I$52,6,FALSE)</f>
        <v>3</v>
      </c>
      <c r="L28" s="35">
        <f t="shared" si="0"/>
        <v>216</v>
      </c>
      <c r="M28" s="9">
        <f t="shared" si="1"/>
        <v>7.5728725380899284</v>
      </c>
      <c r="N28" s="53">
        <f t="shared" si="13"/>
        <v>387.66501113465461</v>
      </c>
      <c r="O28" s="53">
        <f t="shared" si="14"/>
        <v>395.23788367274454</v>
      </c>
      <c r="P28" s="53">
        <f t="shared" si="15"/>
        <v>7.5728725380899391</v>
      </c>
      <c r="Q28" s="53">
        <f t="shared" si="16"/>
        <v>395.23788367274454</v>
      </c>
      <c r="R28" s="43">
        <f t="shared" si="17"/>
        <v>1</v>
      </c>
      <c r="S28" s="43">
        <f t="shared" si="17"/>
        <v>1</v>
      </c>
      <c r="T28" s="43">
        <f t="shared" si="17"/>
        <v>1</v>
      </c>
      <c r="U28" s="43">
        <f t="shared" si="17"/>
        <v>1</v>
      </c>
      <c r="V28" s="43">
        <f t="shared" si="17"/>
        <v>1</v>
      </c>
      <c r="W28" s="43">
        <f t="shared" si="17"/>
        <v>1</v>
      </c>
      <c r="X28" s="43">
        <f t="shared" si="17"/>
        <v>1</v>
      </c>
      <c r="Y28" s="43">
        <f t="shared" si="17"/>
        <v>1</v>
      </c>
      <c r="Z28" s="43">
        <f t="shared" si="17"/>
        <v>1</v>
      </c>
      <c r="AA28" s="43">
        <f t="shared" si="17"/>
        <v>1</v>
      </c>
      <c r="AB28" s="43">
        <f t="shared" si="18"/>
        <v>1</v>
      </c>
      <c r="AC28" s="43">
        <f t="shared" si="18"/>
        <v>1</v>
      </c>
      <c r="AD28" s="43">
        <f t="shared" si="18"/>
        <v>1</v>
      </c>
      <c r="AE28" s="43">
        <f t="shared" si="18"/>
        <v>1</v>
      </c>
      <c r="AF28" s="43">
        <f t="shared" si="18"/>
        <v>1</v>
      </c>
      <c r="AG28" s="43">
        <f t="shared" si="18"/>
        <v>1</v>
      </c>
      <c r="AH28" s="43">
        <f t="shared" si="18"/>
        <v>1</v>
      </c>
      <c r="AI28" s="43">
        <f t="shared" si="18"/>
        <v>1</v>
      </c>
      <c r="AJ28" s="43">
        <f t="shared" si="18"/>
        <v>1</v>
      </c>
      <c r="AK28" s="43">
        <f t="shared" si="18"/>
        <v>1</v>
      </c>
      <c r="AL28" s="43">
        <f t="shared" si="19"/>
        <v>1</v>
      </c>
      <c r="AM28" s="43">
        <f t="shared" si="19"/>
        <v>1</v>
      </c>
      <c r="AN28" s="43">
        <f t="shared" si="19"/>
        <v>1</v>
      </c>
      <c r="AO28" s="43">
        <f t="shared" si="19"/>
        <v>1</v>
      </c>
      <c r="AP28" s="43">
        <f t="shared" si="19"/>
        <v>1</v>
      </c>
      <c r="AQ28" s="43">
        <f t="shared" si="19"/>
        <v>1</v>
      </c>
      <c r="AR28" s="43">
        <f t="shared" si="19"/>
        <v>1</v>
      </c>
      <c r="AS28" s="43">
        <f t="shared" si="19"/>
        <v>1</v>
      </c>
      <c r="AT28" s="43">
        <f t="shared" si="19"/>
        <v>1</v>
      </c>
      <c r="AU28" s="43">
        <f t="shared" si="19"/>
        <v>1</v>
      </c>
      <c r="AV28" s="43">
        <f t="shared" si="20"/>
        <v>1</v>
      </c>
      <c r="AW28" s="43">
        <f t="shared" si="20"/>
        <v>1</v>
      </c>
      <c r="AX28" s="43">
        <f t="shared" si="20"/>
        <v>1</v>
      </c>
      <c r="AY28" s="43">
        <f t="shared" si="20"/>
        <v>0</v>
      </c>
      <c r="AZ28" s="43">
        <f t="shared" si="20"/>
        <v>0</v>
      </c>
      <c r="BA28" s="43">
        <f t="shared" si="20"/>
        <v>0</v>
      </c>
      <c r="BB28" s="43">
        <f t="shared" si="20"/>
        <v>0</v>
      </c>
      <c r="BC28" s="43">
        <f t="shared" si="20"/>
        <v>0</v>
      </c>
      <c r="BD28" s="43">
        <f t="shared" si="20"/>
        <v>0</v>
      </c>
      <c r="BE28" s="43">
        <f t="shared" si="20"/>
        <v>0</v>
      </c>
      <c r="BF28" s="43">
        <f t="shared" si="21"/>
        <v>0</v>
      </c>
      <c r="BG28" s="43">
        <f t="shared" si="21"/>
        <v>0</v>
      </c>
      <c r="BH28" s="43">
        <f t="shared" si="21"/>
        <v>0</v>
      </c>
      <c r="BI28" s="43">
        <f t="shared" si="21"/>
        <v>0</v>
      </c>
      <c r="BJ28" s="43">
        <f t="shared" si="21"/>
        <v>0</v>
      </c>
      <c r="BK28" s="43">
        <f t="shared" si="21"/>
        <v>0</v>
      </c>
      <c r="BL28" s="43">
        <f t="shared" si="21"/>
        <v>0</v>
      </c>
      <c r="BM28" s="43">
        <f t="shared" si="21"/>
        <v>0</v>
      </c>
      <c r="BN28" s="43">
        <f t="shared" si="21"/>
        <v>0</v>
      </c>
      <c r="BO28" s="43">
        <f t="shared" si="21"/>
        <v>0</v>
      </c>
      <c r="BP28" s="43">
        <f t="shared" si="22"/>
        <v>0</v>
      </c>
      <c r="BQ28" s="43">
        <f t="shared" si="22"/>
        <v>0</v>
      </c>
      <c r="BR28" s="43">
        <f t="shared" si="22"/>
        <v>0</v>
      </c>
      <c r="BS28" s="43">
        <f t="shared" si="22"/>
        <v>0</v>
      </c>
      <c r="BT28" s="43">
        <f t="shared" si="22"/>
        <v>0</v>
      </c>
      <c r="BU28" s="43">
        <f t="shared" si="22"/>
        <v>0</v>
      </c>
      <c r="BV28" s="43">
        <f t="shared" si="22"/>
        <v>0</v>
      </c>
      <c r="BW28" s="43">
        <f t="shared" si="22"/>
        <v>0</v>
      </c>
      <c r="BX28" s="43">
        <f t="shared" si="22"/>
        <v>0</v>
      </c>
      <c r="BY28" s="43">
        <f t="shared" si="22"/>
        <v>0</v>
      </c>
      <c r="BZ28" s="43">
        <f t="shared" si="22"/>
        <v>0</v>
      </c>
      <c r="CA28" s="43">
        <f t="shared" si="22"/>
        <v>0</v>
      </c>
    </row>
    <row r="29" spans="1:79" x14ac:dyDescent="0.25">
      <c r="A29" s="35">
        <v>15</v>
      </c>
      <c r="B29" s="8" t="s">
        <v>59</v>
      </c>
      <c r="C29" s="8"/>
      <c r="D29" s="8"/>
      <c r="E29" s="7">
        <v>1018</v>
      </c>
      <c r="F29" s="49">
        <v>112.77552000000003</v>
      </c>
      <c r="G29" s="5" t="s">
        <v>56</v>
      </c>
      <c r="H29" s="10">
        <f t="shared" si="8"/>
        <v>10.370262857142858</v>
      </c>
      <c r="I29" s="49">
        <f>VLOOKUP(B29,База!$B$8:$I$52,3,FALSE)*60</f>
        <v>21</v>
      </c>
      <c r="J29" s="35">
        <v>5</v>
      </c>
      <c r="K29" s="35">
        <f>VLOOKUP(B29,База!$B$8:$I$52,6,FALSE)</f>
        <v>3</v>
      </c>
      <c r="L29" s="35">
        <f t="shared" si="0"/>
        <v>252</v>
      </c>
      <c r="M29" s="9">
        <f t="shared" si="1"/>
        <v>10.370262857142858</v>
      </c>
      <c r="N29" s="53">
        <f t="shared" si="13"/>
        <v>395.23788367274454</v>
      </c>
      <c r="O29" s="53">
        <f t="shared" si="14"/>
        <v>405.60814652988739</v>
      </c>
      <c r="P29" s="53">
        <f t="shared" si="15"/>
        <v>10.370262857142848</v>
      </c>
      <c r="Q29" s="53">
        <f t="shared" si="16"/>
        <v>405.60814652988739</v>
      </c>
      <c r="R29" s="43">
        <f t="shared" si="17"/>
        <v>1</v>
      </c>
      <c r="S29" s="43">
        <f t="shared" si="17"/>
        <v>1</v>
      </c>
      <c r="T29" s="43">
        <f t="shared" si="17"/>
        <v>1</v>
      </c>
      <c r="U29" s="43">
        <f t="shared" si="17"/>
        <v>1</v>
      </c>
      <c r="V29" s="43">
        <f t="shared" si="17"/>
        <v>1</v>
      </c>
      <c r="W29" s="43">
        <f t="shared" si="17"/>
        <v>1</v>
      </c>
      <c r="X29" s="43">
        <f t="shared" si="17"/>
        <v>1</v>
      </c>
      <c r="Y29" s="43">
        <f t="shared" si="17"/>
        <v>1</v>
      </c>
      <c r="Z29" s="43">
        <f t="shared" si="17"/>
        <v>1</v>
      </c>
      <c r="AA29" s="43">
        <f t="shared" si="17"/>
        <v>1</v>
      </c>
      <c r="AB29" s="43">
        <f t="shared" si="18"/>
        <v>1</v>
      </c>
      <c r="AC29" s="43">
        <f t="shared" si="18"/>
        <v>1</v>
      </c>
      <c r="AD29" s="43">
        <f t="shared" si="18"/>
        <v>1</v>
      </c>
      <c r="AE29" s="43">
        <f t="shared" si="18"/>
        <v>1</v>
      </c>
      <c r="AF29" s="43">
        <f t="shared" si="18"/>
        <v>1</v>
      </c>
      <c r="AG29" s="43">
        <f t="shared" si="18"/>
        <v>1</v>
      </c>
      <c r="AH29" s="43">
        <f t="shared" si="18"/>
        <v>1</v>
      </c>
      <c r="AI29" s="43">
        <f t="shared" si="18"/>
        <v>1</v>
      </c>
      <c r="AJ29" s="43">
        <f t="shared" si="18"/>
        <v>1</v>
      </c>
      <c r="AK29" s="43">
        <f t="shared" si="18"/>
        <v>1</v>
      </c>
      <c r="AL29" s="43">
        <f t="shared" si="19"/>
        <v>1</v>
      </c>
      <c r="AM29" s="43">
        <f t="shared" si="19"/>
        <v>1</v>
      </c>
      <c r="AN29" s="43">
        <f t="shared" si="19"/>
        <v>1</v>
      </c>
      <c r="AO29" s="43">
        <f t="shared" si="19"/>
        <v>1</v>
      </c>
      <c r="AP29" s="43">
        <f t="shared" si="19"/>
        <v>1</v>
      </c>
      <c r="AQ29" s="43">
        <f t="shared" si="19"/>
        <v>1</v>
      </c>
      <c r="AR29" s="43">
        <f t="shared" si="19"/>
        <v>1</v>
      </c>
      <c r="AS29" s="43">
        <f t="shared" si="19"/>
        <v>1</v>
      </c>
      <c r="AT29" s="43">
        <f t="shared" si="19"/>
        <v>1</v>
      </c>
      <c r="AU29" s="43">
        <f t="shared" si="19"/>
        <v>1</v>
      </c>
      <c r="AV29" s="43">
        <f t="shared" si="20"/>
        <v>1</v>
      </c>
      <c r="AW29" s="43">
        <f t="shared" si="20"/>
        <v>1</v>
      </c>
      <c r="AX29" s="43">
        <f t="shared" si="20"/>
        <v>1</v>
      </c>
      <c r="AY29" s="43">
        <f t="shared" si="20"/>
        <v>252</v>
      </c>
      <c r="AZ29" s="43">
        <f t="shared" si="20"/>
        <v>0</v>
      </c>
      <c r="BA29" s="43">
        <f t="shared" si="20"/>
        <v>0</v>
      </c>
      <c r="BB29" s="43">
        <f t="shared" si="20"/>
        <v>0</v>
      </c>
      <c r="BC29" s="43">
        <f t="shared" si="20"/>
        <v>0</v>
      </c>
      <c r="BD29" s="43">
        <f t="shared" si="20"/>
        <v>0</v>
      </c>
      <c r="BE29" s="43">
        <f t="shared" si="20"/>
        <v>0</v>
      </c>
      <c r="BF29" s="43">
        <f t="shared" si="21"/>
        <v>0</v>
      </c>
      <c r="BG29" s="43">
        <f t="shared" si="21"/>
        <v>0</v>
      </c>
      <c r="BH29" s="43">
        <f t="shared" si="21"/>
        <v>0</v>
      </c>
      <c r="BI29" s="43">
        <f t="shared" si="21"/>
        <v>0</v>
      </c>
      <c r="BJ29" s="43">
        <f t="shared" si="21"/>
        <v>0</v>
      </c>
      <c r="BK29" s="43">
        <f t="shared" si="21"/>
        <v>0</v>
      </c>
      <c r="BL29" s="43">
        <f t="shared" si="21"/>
        <v>0</v>
      </c>
      <c r="BM29" s="43">
        <f t="shared" si="21"/>
        <v>0</v>
      </c>
      <c r="BN29" s="43">
        <f t="shared" si="21"/>
        <v>0</v>
      </c>
      <c r="BO29" s="43">
        <f t="shared" si="21"/>
        <v>0</v>
      </c>
      <c r="BP29" s="43">
        <f t="shared" si="22"/>
        <v>0</v>
      </c>
      <c r="BQ29" s="43">
        <f t="shared" si="22"/>
        <v>0</v>
      </c>
      <c r="BR29" s="43">
        <f t="shared" si="22"/>
        <v>0</v>
      </c>
      <c r="BS29" s="43">
        <f t="shared" si="22"/>
        <v>0</v>
      </c>
      <c r="BT29" s="43">
        <f t="shared" si="22"/>
        <v>0</v>
      </c>
      <c r="BU29" s="43">
        <f t="shared" si="22"/>
        <v>0</v>
      </c>
      <c r="BV29" s="43">
        <f t="shared" si="22"/>
        <v>0</v>
      </c>
      <c r="BW29" s="43">
        <f t="shared" si="22"/>
        <v>0</v>
      </c>
      <c r="BX29" s="43">
        <f t="shared" si="22"/>
        <v>0</v>
      </c>
      <c r="BY29" s="43">
        <f t="shared" si="22"/>
        <v>0</v>
      </c>
      <c r="BZ29" s="43">
        <f t="shared" si="22"/>
        <v>0</v>
      </c>
      <c r="CA29" s="43">
        <f t="shared" si="22"/>
        <v>0</v>
      </c>
    </row>
    <row r="30" spans="1:79" x14ac:dyDescent="0.25">
      <c r="A30" s="35">
        <v>17</v>
      </c>
      <c r="B30" s="8" t="s">
        <v>19</v>
      </c>
      <c r="C30" s="8"/>
      <c r="D30" s="8"/>
      <c r="E30" s="7">
        <v>1018</v>
      </c>
      <c r="F30" s="49">
        <v>2502</v>
      </c>
      <c r="G30" s="5" t="s">
        <v>56</v>
      </c>
      <c r="H30" s="10">
        <f t="shared" si="8"/>
        <v>124.54285714285714</v>
      </c>
      <c r="I30" s="49">
        <f>VLOOKUP(B30,База!$B$8:$I$52,3,FALSE)*60</f>
        <v>21</v>
      </c>
      <c r="J30" s="35">
        <v>5.4</v>
      </c>
      <c r="K30" s="35">
        <f>VLOOKUP(B30,База!$B$8:$I$52,6,FALSE)</f>
        <v>3</v>
      </c>
      <c r="L30" s="35">
        <f t="shared" si="0"/>
        <v>252</v>
      </c>
      <c r="M30" s="9">
        <f t="shared" si="1"/>
        <v>124.54285714285714</v>
      </c>
      <c r="N30" s="53">
        <f t="shared" si="13"/>
        <v>405.60814652988739</v>
      </c>
      <c r="O30" s="53">
        <f t="shared" si="14"/>
        <v>530.15100367274454</v>
      </c>
      <c r="P30" s="53">
        <f t="shared" si="15"/>
        <v>124.54285714285714</v>
      </c>
      <c r="Q30" s="53">
        <f t="shared" si="16"/>
        <v>530.15100367274454</v>
      </c>
      <c r="R30" s="43">
        <f t="shared" si="17"/>
        <v>1</v>
      </c>
      <c r="S30" s="43">
        <f t="shared" si="17"/>
        <v>1</v>
      </c>
      <c r="T30" s="43">
        <f t="shared" si="17"/>
        <v>1</v>
      </c>
      <c r="U30" s="43">
        <f t="shared" si="17"/>
        <v>1</v>
      </c>
      <c r="V30" s="43">
        <f t="shared" si="17"/>
        <v>1</v>
      </c>
      <c r="W30" s="43">
        <f t="shared" si="17"/>
        <v>1</v>
      </c>
      <c r="X30" s="43">
        <f t="shared" si="17"/>
        <v>1</v>
      </c>
      <c r="Y30" s="43">
        <f t="shared" si="17"/>
        <v>1</v>
      </c>
      <c r="Z30" s="43">
        <f t="shared" si="17"/>
        <v>1</v>
      </c>
      <c r="AA30" s="43">
        <f t="shared" si="17"/>
        <v>1</v>
      </c>
      <c r="AB30" s="43">
        <f t="shared" si="18"/>
        <v>1</v>
      </c>
      <c r="AC30" s="43">
        <f t="shared" si="18"/>
        <v>1</v>
      </c>
      <c r="AD30" s="43">
        <f t="shared" si="18"/>
        <v>1</v>
      </c>
      <c r="AE30" s="43">
        <f t="shared" si="18"/>
        <v>1</v>
      </c>
      <c r="AF30" s="43">
        <f t="shared" si="18"/>
        <v>1</v>
      </c>
      <c r="AG30" s="43">
        <f t="shared" si="18"/>
        <v>1</v>
      </c>
      <c r="AH30" s="43">
        <f t="shared" si="18"/>
        <v>1</v>
      </c>
      <c r="AI30" s="43">
        <f t="shared" si="18"/>
        <v>1</v>
      </c>
      <c r="AJ30" s="43">
        <f t="shared" si="18"/>
        <v>1</v>
      </c>
      <c r="AK30" s="43">
        <f t="shared" si="18"/>
        <v>1</v>
      </c>
      <c r="AL30" s="43">
        <f t="shared" si="19"/>
        <v>1</v>
      </c>
      <c r="AM30" s="43">
        <f t="shared" si="19"/>
        <v>1</v>
      </c>
      <c r="AN30" s="43">
        <f t="shared" si="19"/>
        <v>1</v>
      </c>
      <c r="AO30" s="43">
        <f t="shared" si="19"/>
        <v>1</v>
      </c>
      <c r="AP30" s="43">
        <f t="shared" si="19"/>
        <v>1</v>
      </c>
      <c r="AQ30" s="43">
        <f t="shared" si="19"/>
        <v>1</v>
      </c>
      <c r="AR30" s="43">
        <f t="shared" si="19"/>
        <v>1</v>
      </c>
      <c r="AS30" s="43">
        <f t="shared" si="19"/>
        <v>1</v>
      </c>
      <c r="AT30" s="43">
        <f t="shared" si="19"/>
        <v>1</v>
      </c>
      <c r="AU30" s="43">
        <f t="shared" si="19"/>
        <v>1</v>
      </c>
      <c r="AV30" s="43">
        <f t="shared" si="20"/>
        <v>1</v>
      </c>
      <c r="AW30" s="43">
        <f t="shared" si="20"/>
        <v>1</v>
      </c>
      <c r="AX30" s="43">
        <f t="shared" si="20"/>
        <v>1</v>
      </c>
      <c r="AY30" s="43">
        <f t="shared" si="20"/>
        <v>1</v>
      </c>
      <c r="AZ30" s="43">
        <f t="shared" si="20"/>
        <v>252</v>
      </c>
      <c r="BA30" s="43">
        <f t="shared" si="20"/>
        <v>252</v>
      </c>
      <c r="BB30" s="43">
        <f t="shared" si="20"/>
        <v>252</v>
      </c>
      <c r="BC30" s="43">
        <f t="shared" si="20"/>
        <v>252</v>
      </c>
      <c r="BD30" s="43">
        <f t="shared" si="20"/>
        <v>252</v>
      </c>
      <c r="BE30" s="43">
        <f t="shared" si="20"/>
        <v>252</v>
      </c>
      <c r="BF30" s="43">
        <f t="shared" si="21"/>
        <v>252</v>
      </c>
      <c r="BG30" s="43">
        <f t="shared" si="21"/>
        <v>252</v>
      </c>
      <c r="BH30" s="43">
        <f t="shared" si="21"/>
        <v>252</v>
      </c>
      <c r="BI30" s="43">
        <f t="shared" si="21"/>
        <v>252</v>
      </c>
      <c r="BJ30" s="43">
        <f t="shared" si="21"/>
        <v>252</v>
      </c>
      <c r="BK30" s="43">
        <f t="shared" si="21"/>
        <v>0</v>
      </c>
      <c r="BL30" s="43">
        <f t="shared" si="21"/>
        <v>0</v>
      </c>
      <c r="BM30" s="43">
        <f t="shared" si="21"/>
        <v>0</v>
      </c>
      <c r="BN30" s="43">
        <f t="shared" si="21"/>
        <v>0</v>
      </c>
      <c r="BO30" s="43">
        <f t="shared" si="21"/>
        <v>0</v>
      </c>
      <c r="BP30" s="43">
        <f t="shared" si="22"/>
        <v>0</v>
      </c>
      <c r="BQ30" s="43">
        <f t="shared" si="22"/>
        <v>0</v>
      </c>
      <c r="BR30" s="43">
        <f t="shared" si="22"/>
        <v>0</v>
      </c>
      <c r="BS30" s="43">
        <f t="shared" si="22"/>
        <v>0</v>
      </c>
      <c r="BT30" s="43">
        <f t="shared" si="22"/>
        <v>0</v>
      </c>
      <c r="BU30" s="43">
        <f t="shared" si="22"/>
        <v>0</v>
      </c>
      <c r="BV30" s="43">
        <f t="shared" si="22"/>
        <v>0</v>
      </c>
      <c r="BW30" s="43">
        <f t="shared" si="22"/>
        <v>0</v>
      </c>
      <c r="BX30" s="43">
        <f t="shared" si="22"/>
        <v>0</v>
      </c>
      <c r="BY30" s="43">
        <f t="shared" si="22"/>
        <v>0</v>
      </c>
      <c r="BZ30" s="43">
        <f t="shared" si="22"/>
        <v>0</v>
      </c>
      <c r="CA30" s="43">
        <f t="shared" si="22"/>
        <v>0</v>
      </c>
    </row>
    <row r="31" spans="1:79" x14ac:dyDescent="0.25">
      <c r="A31" s="35">
        <v>18</v>
      </c>
      <c r="B31" s="8" t="s">
        <v>17</v>
      </c>
      <c r="C31" s="8"/>
      <c r="D31" s="8"/>
      <c r="E31" s="7">
        <v>1018</v>
      </c>
      <c r="F31" s="49">
        <v>1000</v>
      </c>
      <c r="G31" s="5" t="s">
        <v>56</v>
      </c>
      <c r="H31" s="10">
        <f t="shared" si="8"/>
        <v>47.466666666666661</v>
      </c>
      <c r="I31" s="49">
        <f>VLOOKUP(B31,База!$B$8:$I$52,3,FALSE)*60</f>
        <v>24</v>
      </c>
      <c r="J31" s="35">
        <v>5.8</v>
      </c>
      <c r="K31" s="35">
        <f>VLOOKUP(B31,База!$B$8:$I$52,6,FALSE)</f>
        <v>1.5</v>
      </c>
      <c r="L31" s="35">
        <f t="shared" si="0"/>
        <v>288</v>
      </c>
      <c r="M31" s="9">
        <f t="shared" si="1"/>
        <v>47.466666666666661</v>
      </c>
      <c r="N31" s="53">
        <f t="shared" si="13"/>
        <v>530.15100367274454</v>
      </c>
      <c r="O31" s="53">
        <f t="shared" si="14"/>
        <v>577.61767033941123</v>
      </c>
      <c r="P31" s="53">
        <f t="shared" si="15"/>
        <v>47.466666666666697</v>
      </c>
      <c r="Q31" s="53">
        <f t="shared" si="16"/>
        <v>577.61767033941123</v>
      </c>
      <c r="R31" s="43">
        <f t="shared" si="17"/>
        <v>1</v>
      </c>
      <c r="S31" s="43">
        <f t="shared" si="17"/>
        <v>1</v>
      </c>
      <c r="T31" s="43">
        <f t="shared" si="17"/>
        <v>1</v>
      </c>
      <c r="U31" s="43">
        <f t="shared" si="17"/>
        <v>1</v>
      </c>
      <c r="V31" s="43">
        <f t="shared" si="17"/>
        <v>1</v>
      </c>
      <c r="W31" s="43">
        <f t="shared" si="17"/>
        <v>1</v>
      </c>
      <c r="X31" s="43">
        <f t="shared" si="17"/>
        <v>1</v>
      </c>
      <c r="Y31" s="43">
        <f t="shared" si="17"/>
        <v>1</v>
      </c>
      <c r="Z31" s="43">
        <f t="shared" si="17"/>
        <v>1</v>
      </c>
      <c r="AA31" s="43">
        <f t="shared" si="17"/>
        <v>1</v>
      </c>
      <c r="AB31" s="43">
        <f t="shared" si="18"/>
        <v>1</v>
      </c>
      <c r="AC31" s="43">
        <f t="shared" si="18"/>
        <v>1</v>
      </c>
      <c r="AD31" s="43">
        <f t="shared" si="18"/>
        <v>1</v>
      </c>
      <c r="AE31" s="43">
        <f t="shared" si="18"/>
        <v>1</v>
      </c>
      <c r="AF31" s="43">
        <f t="shared" si="18"/>
        <v>1</v>
      </c>
      <c r="AG31" s="43">
        <f t="shared" si="18"/>
        <v>1</v>
      </c>
      <c r="AH31" s="43">
        <f t="shared" si="18"/>
        <v>1</v>
      </c>
      <c r="AI31" s="43">
        <f t="shared" si="18"/>
        <v>1</v>
      </c>
      <c r="AJ31" s="43">
        <f t="shared" si="18"/>
        <v>1</v>
      </c>
      <c r="AK31" s="43">
        <f t="shared" si="18"/>
        <v>1</v>
      </c>
      <c r="AL31" s="43">
        <f t="shared" si="19"/>
        <v>1</v>
      </c>
      <c r="AM31" s="43">
        <f t="shared" si="19"/>
        <v>1</v>
      </c>
      <c r="AN31" s="43">
        <f t="shared" si="19"/>
        <v>1</v>
      </c>
      <c r="AO31" s="43">
        <f t="shared" si="19"/>
        <v>1</v>
      </c>
      <c r="AP31" s="43">
        <f t="shared" si="19"/>
        <v>1</v>
      </c>
      <c r="AQ31" s="43">
        <f t="shared" si="19"/>
        <v>1</v>
      </c>
      <c r="AR31" s="43">
        <f t="shared" si="19"/>
        <v>1</v>
      </c>
      <c r="AS31" s="43">
        <f t="shared" si="19"/>
        <v>1</v>
      </c>
      <c r="AT31" s="43">
        <f t="shared" si="19"/>
        <v>1</v>
      </c>
      <c r="AU31" s="43">
        <f t="shared" si="19"/>
        <v>1</v>
      </c>
      <c r="AV31" s="43">
        <f t="shared" si="20"/>
        <v>1</v>
      </c>
      <c r="AW31" s="43">
        <f t="shared" si="20"/>
        <v>1</v>
      </c>
      <c r="AX31" s="43">
        <f t="shared" si="20"/>
        <v>1</v>
      </c>
      <c r="AY31" s="43">
        <f t="shared" si="20"/>
        <v>1</v>
      </c>
      <c r="AZ31" s="43">
        <f t="shared" si="20"/>
        <v>1</v>
      </c>
      <c r="BA31" s="43">
        <f t="shared" si="20"/>
        <v>1</v>
      </c>
      <c r="BB31" s="43">
        <f t="shared" si="20"/>
        <v>1</v>
      </c>
      <c r="BC31" s="43">
        <f t="shared" si="20"/>
        <v>1</v>
      </c>
      <c r="BD31" s="43">
        <f t="shared" si="20"/>
        <v>1</v>
      </c>
      <c r="BE31" s="43">
        <f t="shared" si="20"/>
        <v>1</v>
      </c>
      <c r="BF31" s="43">
        <f t="shared" si="21"/>
        <v>1</v>
      </c>
      <c r="BG31" s="43">
        <f t="shared" si="21"/>
        <v>1</v>
      </c>
      <c r="BH31" s="43">
        <f t="shared" si="21"/>
        <v>1</v>
      </c>
      <c r="BI31" s="43">
        <f t="shared" si="21"/>
        <v>1</v>
      </c>
      <c r="BJ31" s="43">
        <f t="shared" si="21"/>
        <v>1</v>
      </c>
      <c r="BK31" s="43">
        <f t="shared" si="21"/>
        <v>288</v>
      </c>
      <c r="BL31" s="43">
        <f t="shared" si="21"/>
        <v>288</v>
      </c>
      <c r="BM31" s="43">
        <f t="shared" si="21"/>
        <v>288</v>
      </c>
      <c r="BN31" s="43">
        <f t="shared" si="21"/>
        <v>288</v>
      </c>
      <c r="BO31" s="43">
        <f t="shared" si="21"/>
        <v>0</v>
      </c>
      <c r="BP31" s="43">
        <f t="shared" si="22"/>
        <v>0</v>
      </c>
      <c r="BQ31" s="43">
        <f t="shared" si="22"/>
        <v>0</v>
      </c>
      <c r="BR31" s="43">
        <f t="shared" si="22"/>
        <v>0</v>
      </c>
      <c r="BS31" s="43">
        <f t="shared" si="22"/>
        <v>0</v>
      </c>
      <c r="BT31" s="43">
        <f t="shared" si="22"/>
        <v>0</v>
      </c>
      <c r="BU31" s="43">
        <f t="shared" si="22"/>
        <v>0</v>
      </c>
      <c r="BV31" s="43">
        <f t="shared" si="22"/>
        <v>0</v>
      </c>
      <c r="BW31" s="43">
        <f t="shared" si="22"/>
        <v>0</v>
      </c>
      <c r="BX31" s="43">
        <f t="shared" si="22"/>
        <v>0</v>
      </c>
      <c r="BY31" s="43">
        <f t="shared" si="22"/>
        <v>0</v>
      </c>
      <c r="BZ31" s="43">
        <f t="shared" si="22"/>
        <v>0</v>
      </c>
      <c r="CA31" s="43">
        <f t="shared" si="22"/>
        <v>0</v>
      </c>
    </row>
    <row r="32" spans="1:79" x14ac:dyDescent="0.25">
      <c r="A32" s="35">
        <v>1</v>
      </c>
      <c r="B32" s="8" t="s">
        <v>37</v>
      </c>
      <c r="C32" s="8"/>
      <c r="D32" s="8"/>
      <c r="E32" s="7">
        <v>1018</v>
      </c>
      <c r="F32" s="49">
        <v>1000</v>
      </c>
      <c r="G32" s="5" t="s">
        <v>66</v>
      </c>
      <c r="H32" s="10">
        <f t="shared" si="8"/>
        <v>53.819047619047623</v>
      </c>
      <c r="I32" s="49">
        <f>VLOOKUP(B32,База!$B$8:$I$52,3,FALSE)*60</f>
        <v>21</v>
      </c>
      <c r="J32" s="35">
        <v>6.2</v>
      </c>
      <c r="K32" s="35">
        <f>VLOOKUP(B32,База!$B$8:$I$52,6,FALSE)</f>
        <v>2</v>
      </c>
      <c r="L32" s="35">
        <f t="shared" si="0"/>
        <v>252</v>
      </c>
      <c r="M32" s="9">
        <f t="shared" si="1"/>
        <v>53.819047619047623</v>
      </c>
      <c r="N32" s="60">
        <v>0</v>
      </c>
      <c r="O32" s="60">
        <f>N32+M32</f>
        <v>53.819047619047623</v>
      </c>
      <c r="P32" s="60">
        <f>O32-N32</f>
        <v>53.819047619047623</v>
      </c>
      <c r="Q32" s="60">
        <f>P32</f>
        <v>53.819047619047623</v>
      </c>
      <c r="R32" s="43">
        <f t="shared" ref="R32:AA41" si="23">IF($Q32&gt;R$10,IF($Q32-$P32&lt;=R$10,$L32,1),0)</f>
        <v>252</v>
      </c>
      <c r="S32" s="43">
        <f t="shared" si="23"/>
        <v>252</v>
      </c>
      <c r="T32" s="43">
        <f t="shared" si="23"/>
        <v>252</v>
      </c>
      <c r="U32" s="43">
        <f t="shared" si="23"/>
        <v>252</v>
      </c>
      <c r="V32" s="43">
        <f t="shared" si="23"/>
        <v>252</v>
      </c>
      <c r="W32" s="43">
        <f t="shared" si="23"/>
        <v>0</v>
      </c>
      <c r="X32" s="43">
        <f t="shared" si="23"/>
        <v>0</v>
      </c>
      <c r="Y32" s="43">
        <f t="shared" si="23"/>
        <v>0</v>
      </c>
      <c r="Z32" s="43">
        <f t="shared" si="23"/>
        <v>0</v>
      </c>
      <c r="AA32" s="43">
        <f t="shared" si="23"/>
        <v>0</v>
      </c>
      <c r="AB32" s="43">
        <f t="shared" ref="AB32:AK41" si="24">IF($Q32&gt;AB$10,IF($Q32-$P32&lt;=AB$10,$L32,1),0)</f>
        <v>0</v>
      </c>
      <c r="AC32" s="43">
        <f t="shared" si="24"/>
        <v>0</v>
      </c>
      <c r="AD32" s="43">
        <f t="shared" si="24"/>
        <v>0</v>
      </c>
      <c r="AE32" s="43">
        <f t="shared" si="24"/>
        <v>0</v>
      </c>
      <c r="AF32" s="43">
        <f t="shared" si="24"/>
        <v>0</v>
      </c>
      <c r="AG32" s="43">
        <f t="shared" si="24"/>
        <v>0</v>
      </c>
      <c r="AH32" s="43">
        <f t="shared" si="24"/>
        <v>0</v>
      </c>
      <c r="AI32" s="43">
        <f t="shared" si="24"/>
        <v>0</v>
      </c>
      <c r="AJ32" s="43">
        <f t="shared" si="24"/>
        <v>0</v>
      </c>
      <c r="AK32" s="43">
        <f t="shared" si="24"/>
        <v>0</v>
      </c>
      <c r="AL32" s="43">
        <f t="shared" ref="AL32:AU41" si="25">IF($Q32&gt;AL$10,IF($Q32-$P32&lt;=AL$10,$L32,1),0)</f>
        <v>0</v>
      </c>
      <c r="AM32" s="43">
        <f t="shared" si="25"/>
        <v>0</v>
      </c>
      <c r="AN32" s="43">
        <f t="shared" si="25"/>
        <v>0</v>
      </c>
      <c r="AO32" s="43">
        <f t="shared" si="25"/>
        <v>0</v>
      </c>
      <c r="AP32" s="43">
        <f t="shared" si="25"/>
        <v>0</v>
      </c>
      <c r="AQ32" s="43">
        <f t="shared" si="25"/>
        <v>0</v>
      </c>
      <c r="AR32" s="43">
        <f t="shared" si="25"/>
        <v>0</v>
      </c>
      <c r="AS32" s="43">
        <f t="shared" si="25"/>
        <v>0</v>
      </c>
      <c r="AT32" s="43">
        <f t="shared" si="25"/>
        <v>0</v>
      </c>
      <c r="AU32" s="43">
        <f t="shared" si="25"/>
        <v>0</v>
      </c>
      <c r="AV32" s="43">
        <f t="shared" ref="AV32:BE41" si="26">IF($Q32&gt;AV$10,IF($Q32-$P32&lt;=AV$10,$L32,1),0)</f>
        <v>0</v>
      </c>
      <c r="AW32" s="43">
        <f t="shared" si="26"/>
        <v>0</v>
      </c>
      <c r="AX32" s="43">
        <f t="shared" si="26"/>
        <v>0</v>
      </c>
      <c r="AY32" s="43">
        <f t="shared" si="26"/>
        <v>0</v>
      </c>
      <c r="AZ32" s="43">
        <f t="shared" si="26"/>
        <v>0</v>
      </c>
      <c r="BA32" s="43">
        <f t="shared" si="26"/>
        <v>0</v>
      </c>
      <c r="BB32" s="43">
        <f t="shared" si="26"/>
        <v>0</v>
      </c>
      <c r="BC32" s="43">
        <f t="shared" si="26"/>
        <v>0</v>
      </c>
      <c r="BD32" s="43">
        <f t="shared" si="26"/>
        <v>0</v>
      </c>
      <c r="BE32" s="43">
        <f t="shared" si="26"/>
        <v>0</v>
      </c>
      <c r="BF32" s="43">
        <f t="shared" ref="BF32:BO41" si="27">IF($Q32&gt;BF$10,IF($Q32-$P32&lt;=BF$10,$L32,1),0)</f>
        <v>0</v>
      </c>
      <c r="BG32" s="43">
        <f t="shared" si="27"/>
        <v>0</v>
      </c>
      <c r="BH32" s="43">
        <f t="shared" si="27"/>
        <v>0</v>
      </c>
      <c r="BI32" s="43">
        <f t="shared" si="27"/>
        <v>0</v>
      </c>
      <c r="BJ32" s="43">
        <f t="shared" si="27"/>
        <v>0</v>
      </c>
      <c r="BK32" s="43">
        <f t="shared" si="27"/>
        <v>0</v>
      </c>
      <c r="BL32" s="43">
        <f t="shared" si="27"/>
        <v>0</v>
      </c>
      <c r="BM32" s="43">
        <f t="shared" si="27"/>
        <v>0</v>
      </c>
      <c r="BN32" s="43">
        <f t="shared" si="27"/>
        <v>0</v>
      </c>
      <c r="BO32" s="43">
        <f t="shared" si="27"/>
        <v>0</v>
      </c>
      <c r="BP32" s="43">
        <f t="shared" ref="BP32:CA41" si="28">IF($Q32&gt;BP$10,IF($Q32-$P32&lt;=BP$10,$L32,1),0)</f>
        <v>0</v>
      </c>
      <c r="BQ32" s="43">
        <f t="shared" si="28"/>
        <v>0</v>
      </c>
      <c r="BR32" s="43">
        <f t="shared" si="28"/>
        <v>0</v>
      </c>
      <c r="BS32" s="43">
        <f t="shared" si="28"/>
        <v>0</v>
      </c>
      <c r="BT32" s="43">
        <f t="shared" si="28"/>
        <v>0</v>
      </c>
      <c r="BU32" s="43">
        <f t="shared" si="28"/>
        <v>0</v>
      </c>
      <c r="BV32" s="43">
        <f t="shared" si="28"/>
        <v>0</v>
      </c>
      <c r="BW32" s="43">
        <f t="shared" si="28"/>
        <v>0</v>
      </c>
      <c r="BX32" s="43">
        <f t="shared" si="28"/>
        <v>0</v>
      </c>
      <c r="BY32" s="43">
        <f t="shared" si="28"/>
        <v>0</v>
      </c>
      <c r="BZ32" s="43">
        <f t="shared" si="28"/>
        <v>0</v>
      </c>
      <c r="CA32" s="43">
        <f t="shared" si="28"/>
        <v>0</v>
      </c>
    </row>
    <row r="33" spans="1:79" x14ac:dyDescent="0.25">
      <c r="A33" s="35">
        <v>2</v>
      </c>
      <c r="B33" s="8" t="s">
        <v>27</v>
      </c>
      <c r="C33" s="8"/>
      <c r="D33" s="8"/>
      <c r="E33" s="7">
        <v>1018</v>
      </c>
      <c r="F33" s="49">
        <v>4449.7593600000009</v>
      </c>
      <c r="G33" s="5" t="s">
        <v>66</v>
      </c>
      <c r="H33" s="10">
        <f t="shared" si="8"/>
        <v>218.49330285714291</v>
      </c>
      <c r="I33" s="49">
        <f>VLOOKUP(B33,База!$B$8:$I$52,3,FALSE)*60</f>
        <v>21</v>
      </c>
      <c r="J33" s="35">
        <v>6.6</v>
      </c>
      <c r="K33" s="35">
        <f>VLOOKUP(B33,База!$B$8:$I$52,6,FALSE)</f>
        <v>2</v>
      </c>
      <c r="L33" s="35">
        <f t="shared" si="0"/>
        <v>252</v>
      </c>
      <c r="M33" s="9">
        <f t="shared" si="1"/>
        <v>218.49330285714291</v>
      </c>
      <c r="N33" s="53">
        <f t="shared" si="13"/>
        <v>53.819047619047623</v>
      </c>
      <c r="O33" s="53">
        <f t="shared" si="14"/>
        <v>272.31235047619055</v>
      </c>
      <c r="P33" s="53">
        <f t="shared" si="15"/>
        <v>218.49330285714291</v>
      </c>
      <c r="Q33" s="53">
        <f t="shared" si="16"/>
        <v>272.31235047619055</v>
      </c>
      <c r="R33" s="43">
        <f t="shared" si="23"/>
        <v>1</v>
      </c>
      <c r="S33" s="43">
        <f t="shared" si="23"/>
        <v>1</v>
      </c>
      <c r="T33" s="43">
        <f t="shared" si="23"/>
        <v>1</v>
      </c>
      <c r="U33" s="43">
        <f t="shared" si="23"/>
        <v>1</v>
      </c>
      <c r="V33" s="43">
        <f t="shared" si="23"/>
        <v>1</v>
      </c>
      <c r="W33" s="43">
        <f t="shared" si="23"/>
        <v>252</v>
      </c>
      <c r="X33" s="43">
        <f t="shared" si="23"/>
        <v>252</v>
      </c>
      <c r="Y33" s="43">
        <f t="shared" si="23"/>
        <v>252</v>
      </c>
      <c r="Z33" s="43">
        <f t="shared" si="23"/>
        <v>252</v>
      </c>
      <c r="AA33" s="43">
        <f t="shared" si="23"/>
        <v>252</v>
      </c>
      <c r="AB33" s="43">
        <f t="shared" si="24"/>
        <v>252</v>
      </c>
      <c r="AC33" s="43">
        <f t="shared" si="24"/>
        <v>252</v>
      </c>
      <c r="AD33" s="43">
        <f t="shared" si="24"/>
        <v>252</v>
      </c>
      <c r="AE33" s="43">
        <f t="shared" si="24"/>
        <v>252</v>
      </c>
      <c r="AF33" s="43">
        <f t="shared" si="24"/>
        <v>252</v>
      </c>
      <c r="AG33" s="43">
        <f t="shared" si="24"/>
        <v>252</v>
      </c>
      <c r="AH33" s="43">
        <f t="shared" si="24"/>
        <v>252</v>
      </c>
      <c r="AI33" s="43">
        <f t="shared" si="24"/>
        <v>252</v>
      </c>
      <c r="AJ33" s="43">
        <f t="shared" si="24"/>
        <v>252</v>
      </c>
      <c r="AK33" s="43">
        <f t="shared" si="24"/>
        <v>252</v>
      </c>
      <c r="AL33" s="43">
        <f t="shared" si="25"/>
        <v>252</v>
      </c>
      <c r="AM33" s="43">
        <f t="shared" si="25"/>
        <v>252</v>
      </c>
      <c r="AN33" s="43">
        <f t="shared" si="25"/>
        <v>252</v>
      </c>
      <c r="AO33" s="43">
        <f t="shared" si="25"/>
        <v>0</v>
      </c>
      <c r="AP33" s="43">
        <f t="shared" si="25"/>
        <v>0</v>
      </c>
      <c r="AQ33" s="43">
        <f t="shared" si="25"/>
        <v>0</v>
      </c>
      <c r="AR33" s="43">
        <f t="shared" si="25"/>
        <v>0</v>
      </c>
      <c r="AS33" s="43">
        <f t="shared" si="25"/>
        <v>0</v>
      </c>
      <c r="AT33" s="43">
        <f t="shared" si="25"/>
        <v>0</v>
      </c>
      <c r="AU33" s="43">
        <f t="shared" si="25"/>
        <v>0</v>
      </c>
      <c r="AV33" s="43">
        <f t="shared" si="26"/>
        <v>0</v>
      </c>
      <c r="AW33" s="43">
        <f t="shared" si="26"/>
        <v>0</v>
      </c>
      <c r="AX33" s="43">
        <f t="shared" si="26"/>
        <v>0</v>
      </c>
      <c r="AY33" s="43">
        <f t="shared" si="26"/>
        <v>0</v>
      </c>
      <c r="AZ33" s="43">
        <f t="shared" si="26"/>
        <v>0</v>
      </c>
      <c r="BA33" s="43">
        <f t="shared" si="26"/>
        <v>0</v>
      </c>
      <c r="BB33" s="43">
        <f t="shared" si="26"/>
        <v>0</v>
      </c>
      <c r="BC33" s="43">
        <f t="shared" si="26"/>
        <v>0</v>
      </c>
      <c r="BD33" s="43">
        <f t="shared" si="26"/>
        <v>0</v>
      </c>
      <c r="BE33" s="43">
        <f t="shared" si="26"/>
        <v>0</v>
      </c>
      <c r="BF33" s="43">
        <f t="shared" si="27"/>
        <v>0</v>
      </c>
      <c r="BG33" s="43">
        <f t="shared" si="27"/>
        <v>0</v>
      </c>
      <c r="BH33" s="43">
        <f t="shared" si="27"/>
        <v>0</v>
      </c>
      <c r="BI33" s="43">
        <f t="shared" si="27"/>
        <v>0</v>
      </c>
      <c r="BJ33" s="43">
        <f t="shared" si="27"/>
        <v>0</v>
      </c>
      <c r="BK33" s="43">
        <f t="shared" si="27"/>
        <v>0</v>
      </c>
      <c r="BL33" s="43">
        <f t="shared" si="27"/>
        <v>0</v>
      </c>
      <c r="BM33" s="43">
        <f t="shared" si="27"/>
        <v>0</v>
      </c>
      <c r="BN33" s="43">
        <f t="shared" si="27"/>
        <v>0</v>
      </c>
      <c r="BO33" s="43">
        <f t="shared" si="27"/>
        <v>0</v>
      </c>
      <c r="BP33" s="43">
        <f t="shared" si="28"/>
        <v>0</v>
      </c>
      <c r="BQ33" s="43">
        <f t="shared" si="28"/>
        <v>0</v>
      </c>
      <c r="BR33" s="43">
        <f t="shared" si="28"/>
        <v>0</v>
      </c>
      <c r="BS33" s="43">
        <f t="shared" si="28"/>
        <v>0</v>
      </c>
      <c r="BT33" s="43">
        <f t="shared" si="28"/>
        <v>0</v>
      </c>
      <c r="BU33" s="43">
        <f t="shared" si="28"/>
        <v>0</v>
      </c>
      <c r="BV33" s="43">
        <f t="shared" si="28"/>
        <v>0</v>
      </c>
      <c r="BW33" s="43">
        <f t="shared" si="28"/>
        <v>0</v>
      </c>
      <c r="BX33" s="43">
        <f t="shared" si="28"/>
        <v>0</v>
      </c>
      <c r="BY33" s="43">
        <f t="shared" si="28"/>
        <v>0</v>
      </c>
      <c r="BZ33" s="43">
        <f t="shared" si="28"/>
        <v>0</v>
      </c>
      <c r="CA33" s="43">
        <f t="shared" si="28"/>
        <v>0</v>
      </c>
    </row>
    <row r="34" spans="1:79" x14ac:dyDescent="0.25">
      <c r="A34" s="35">
        <v>3</v>
      </c>
      <c r="B34" s="8" t="s">
        <v>29</v>
      </c>
      <c r="C34" s="8"/>
      <c r="D34" s="8"/>
      <c r="E34" s="7">
        <v>1018</v>
      </c>
      <c r="F34" s="49">
        <v>60.000000000000014</v>
      </c>
      <c r="G34" s="5" t="s">
        <v>66</v>
      </c>
      <c r="H34" s="10">
        <f t="shared" si="8"/>
        <v>9.8571428571428577</v>
      </c>
      <c r="I34" s="49">
        <f>VLOOKUP(B34,База!$B$8:$I$52,3,FALSE)*60</f>
        <v>21</v>
      </c>
      <c r="J34" s="35">
        <v>7</v>
      </c>
      <c r="K34" s="35">
        <f>VLOOKUP(B34,База!$B$8:$I$52,6,FALSE)</f>
        <v>2</v>
      </c>
      <c r="L34" s="35">
        <f t="shared" si="0"/>
        <v>252</v>
      </c>
      <c r="M34" s="9">
        <f t="shared" si="1"/>
        <v>9.8571428571428577</v>
      </c>
      <c r="N34" s="53">
        <f t="shared" si="13"/>
        <v>272.31235047619055</v>
      </c>
      <c r="O34" s="53">
        <f t="shared" si="14"/>
        <v>282.16949333333338</v>
      </c>
      <c r="P34" s="53">
        <f t="shared" si="15"/>
        <v>9.8571428571428328</v>
      </c>
      <c r="Q34" s="53">
        <f t="shared" si="16"/>
        <v>282.16949333333338</v>
      </c>
      <c r="R34" s="43">
        <f t="shared" si="23"/>
        <v>1</v>
      </c>
      <c r="S34" s="43">
        <f t="shared" si="23"/>
        <v>1</v>
      </c>
      <c r="T34" s="43">
        <f t="shared" si="23"/>
        <v>1</v>
      </c>
      <c r="U34" s="43">
        <f t="shared" si="23"/>
        <v>1</v>
      </c>
      <c r="V34" s="43">
        <f t="shared" si="23"/>
        <v>1</v>
      </c>
      <c r="W34" s="43">
        <f t="shared" si="23"/>
        <v>1</v>
      </c>
      <c r="X34" s="43">
        <f t="shared" si="23"/>
        <v>1</v>
      </c>
      <c r="Y34" s="43">
        <f t="shared" si="23"/>
        <v>1</v>
      </c>
      <c r="Z34" s="43">
        <f t="shared" si="23"/>
        <v>1</v>
      </c>
      <c r="AA34" s="43">
        <f t="shared" si="23"/>
        <v>1</v>
      </c>
      <c r="AB34" s="43">
        <f t="shared" si="24"/>
        <v>1</v>
      </c>
      <c r="AC34" s="43">
        <f t="shared" si="24"/>
        <v>1</v>
      </c>
      <c r="AD34" s="43">
        <f t="shared" si="24"/>
        <v>1</v>
      </c>
      <c r="AE34" s="43">
        <f t="shared" si="24"/>
        <v>1</v>
      </c>
      <c r="AF34" s="43">
        <f t="shared" si="24"/>
        <v>1</v>
      </c>
      <c r="AG34" s="43">
        <f t="shared" si="24"/>
        <v>1</v>
      </c>
      <c r="AH34" s="43">
        <f t="shared" si="24"/>
        <v>1</v>
      </c>
      <c r="AI34" s="43">
        <f t="shared" si="24"/>
        <v>1</v>
      </c>
      <c r="AJ34" s="43">
        <f t="shared" si="24"/>
        <v>1</v>
      </c>
      <c r="AK34" s="43">
        <f t="shared" si="24"/>
        <v>1</v>
      </c>
      <c r="AL34" s="43">
        <f t="shared" si="25"/>
        <v>1</v>
      </c>
      <c r="AM34" s="43">
        <f t="shared" si="25"/>
        <v>1</v>
      </c>
      <c r="AN34" s="43">
        <f t="shared" si="25"/>
        <v>1</v>
      </c>
      <c r="AO34" s="43">
        <f t="shared" si="25"/>
        <v>252</v>
      </c>
      <c r="AP34" s="43">
        <f t="shared" si="25"/>
        <v>0</v>
      </c>
      <c r="AQ34" s="43">
        <f t="shared" si="25"/>
        <v>0</v>
      </c>
      <c r="AR34" s="43">
        <f t="shared" si="25"/>
        <v>0</v>
      </c>
      <c r="AS34" s="43">
        <f t="shared" si="25"/>
        <v>0</v>
      </c>
      <c r="AT34" s="43">
        <f t="shared" si="25"/>
        <v>0</v>
      </c>
      <c r="AU34" s="43">
        <f t="shared" si="25"/>
        <v>0</v>
      </c>
      <c r="AV34" s="43">
        <f t="shared" si="26"/>
        <v>0</v>
      </c>
      <c r="AW34" s="43">
        <f t="shared" si="26"/>
        <v>0</v>
      </c>
      <c r="AX34" s="43">
        <f t="shared" si="26"/>
        <v>0</v>
      </c>
      <c r="AY34" s="43">
        <f t="shared" si="26"/>
        <v>0</v>
      </c>
      <c r="AZ34" s="43">
        <f t="shared" si="26"/>
        <v>0</v>
      </c>
      <c r="BA34" s="43">
        <f t="shared" si="26"/>
        <v>0</v>
      </c>
      <c r="BB34" s="43">
        <f t="shared" si="26"/>
        <v>0</v>
      </c>
      <c r="BC34" s="43">
        <f t="shared" si="26"/>
        <v>0</v>
      </c>
      <c r="BD34" s="43">
        <f t="shared" si="26"/>
        <v>0</v>
      </c>
      <c r="BE34" s="43">
        <f t="shared" si="26"/>
        <v>0</v>
      </c>
      <c r="BF34" s="43">
        <f t="shared" si="27"/>
        <v>0</v>
      </c>
      <c r="BG34" s="43">
        <f t="shared" si="27"/>
        <v>0</v>
      </c>
      <c r="BH34" s="43">
        <f t="shared" si="27"/>
        <v>0</v>
      </c>
      <c r="BI34" s="43">
        <f t="shared" si="27"/>
        <v>0</v>
      </c>
      <c r="BJ34" s="43">
        <f t="shared" si="27"/>
        <v>0</v>
      </c>
      <c r="BK34" s="43">
        <f t="shared" si="27"/>
        <v>0</v>
      </c>
      <c r="BL34" s="43">
        <f t="shared" si="27"/>
        <v>0</v>
      </c>
      <c r="BM34" s="43">
        <f t="shared" si="27"/>
        <v>0</v>
      </c>
      <c r="BN34" s="43">
        <f t="shared" si="27"/>
        <v>0</v>
      </c>
      <c r="BO34" s="43">
        <f t="shared" si="27"/>
        <v>0</v>
      </c>
      <c r="BP34" s="43">
        <f t="shared" si="28"/>
        <v>0</v>
      </c>
      <c r="BQ34" s="43">
        <f t="shared" si="28"/>
        <v>0</v>
      </c>
      <c r="BR34" s="43">
        <f t="shared" si="28"/>
        <v>0</v>
      </c>
      <c r="BS34" s="43">
        <f t="shared" si="28"/>
        <v>0</v>
      </c>
      <c r="BT34" s="43">
        <f t="shared" si="28"/>
        <v>0</v>
      </c>
      <c r="BU34" s="43">
        <f t="shared" si="28"/>
        <v>0</v>
      </c>
      <c r="BV34" s="43">
        <f t="shared" si="28"/>
        <v>0</v>
      </c>
      <c r="BW34" s="43">
        <f t="shared" si="28"/>
        <v>0</v>
      </c>
      <c r="BX34" s="43">
        <f t="shared" si="28"/>
        <v>0</v>
      </c>
      <c r="BY34" s="43">
        <f t="shared" si="28"/>
        <v>0</v>
      </c>
      <c r="BZ34" s="43">
        <f t="shared" si="28"/>
        <v>0</v>
      </c>
      <c r="CA34" s="43">
        <f t="shared" si="28"/>
        <v>0</v>
      </c>
    </row>
    <row r="35" spans="1:79" x14ac:dyDescent="0.25">
      <c r="A35" s="35">
        <v>4</v>
      </c>
      <c r="B35" s="8" t="s">
        <v>23</v>
      </c>
      <c r="C35" s="8"/>
      <c r="D35" s="8"/>
      <c r="E35" s="7">
        <v>1018</v>
      </c>
      <c r="F35" s="49">
        <v>1288.5999999999999</v>
      </c>
      <c r="G35" s="5" t="s">
        <v>66</v>
      </c>
      <c r="H35" s="10">
        <f t="shared" si="8"/>
        <v>78.988888888888894</v>
      </c>
      <c r="I35" s="49">
        <f>VLOOKUP(B35,База!$B$8:$I$52,3,FALSE)*60</f>
        <v>18</v>
      </c>
      <c r="J35" s="35">
        <v>7.4</v>
      </c>
      <c r="K35" s="35">
        <f>VLOOKUP(B35,База!$B$8:$I$52,6,FALSE)</f>
        <v>3</v>
      </c>
      <c r="L35" s="35">
        <f t="shared" si="0"/>
        <v>216</v>
      </c>
      <c r="M35" s="9">
        <f t="shared" si="1"/>
        <v>78.988888888888894</v>
      </c>
      <c r="N35" s="53">
        <f t="shared" si="13"/>
        <v>282.16949333333338</v>
      </c>
      <c r="O35" s="53">
        <f t="shared" si="14"/>
        <v>361.15838222222226</v>
      </c>
      <c r="P35" s="53">
        <f t="shared" si="15"/>
        <v>78.98888888888888</v>
      </c>
      <c r="Q35" s="53">
        <f t="shared" si="16"/>
        <v>361.15838222222226</v>
      </c>
      <c r="R35" s="43">
        <f t="shared" si="23"/>
        <v>1</v>
      </c>
      <c r="S35" s="43">
        <f t="shared" si="23"/>
        <v>1</v>
      </c>
      <c r="T35" s="43">
        <f t="shared" si="23"/>
        <v>1</v>
      </c>
      <c r="U35" s="43">
        <f t="shared" si="23"/>
        <v>1</v>
      </c>
      <c r="V35" s="43">
        <f t="shared" si="23"/>
        <v>1</v>
      </c>
      <c r="W35" s="43">
        <f t="shared" si="23"/>
        <v>1</v>
      </c>
      <c r="X35" s="43">
        <f t="shared" si="23"/>
        <v>1</v>
      </c>
      <c r="Y35" s="43">
        <f t="shared" si="23"/>
        <v>1</v>
      </c>
      <c r="Z35" s="43">
        <f t="shared" si="23"/>
        <v>1</v>
      </c>
      <c r="AA35" s="43">
        <f t="shared" si="23"/>
        <v>1</v>
      </c>
      <c r="AB35" s="43">
        <f t="shared" si="24"/>
        <v>1</v>
      </c>
      <c r="AC35" s="43">
        <f t="shared" si="24"/>
        <v>1</v>
      </c>
      <c r="AD35" s="43">
        <f t="shared" si="24"/>
        <v>1</v>
      </c>
      <c r="AE35" s="43">
        <f t="shared" si="24"/>
        <v>1</v>
      </c>
      <c r="AF35" s="43">
        <f t="shared" si="24"/>
        <v>1</v>
      </c>
      <c r="AG35" s="43">
        <f t="shared" si="24"/>
        <v>1</v>
      </c>
      <c r="AH35" s="43">
        <f t="shared" si="24"/>
        <v>1</v>
      </c>
      <c r="AI35" s="43">
        <f t="shared" si="24"/>
        <v>1</v>
      </c>
      <c r="AJ35" s="43">
        <f t="shared" si="24"/>
        <v>1</v>
      </c>
      <c r="AK35" s="43">
        <f t="shared" si="24"/>
        <v>1</v>
      </c>
      <c r="AL35" s="43">
        <f t="shared" si="25"/>
        <v>1</v>
      </c>
      <c r="AM35" s="43">
        <f t="shared" si="25"/>
        <v>1</v>
      </c>
      <c r="AN35" s="43">
        <f t="shared" si="25"/>
        <v>1</v>
      </c>
      <c r="AO35" s="43">
        <f t="shared" si="25"/>
        <v>1</v>
      </c>
      <c r="AP35" s="43">
        <f t="shared" si="25"/>
        <v>216</v>
      </c>
      <c r="AQ35" s="43">
        <f t="shared" si="25"/>
        <v>216</v>
      </c>
      <c r="AR35" s="43">
        <f t="shared" si="25"/>
        <v>216</v>
      </c>
      <c r="AS35" s="43">
        <f t="shared" si="25"/>
        <v>216</v>
      </c>
      <c r="AT35" s="43">
        <f t="shared" si="25"/>
        <v>216</v>
      </c>
      <c r="AU35" s="43">
        <f t="shared" si="25"/>
        <v>216</v>
      </c>
      <c r="AV35" s="43">
        <f t="shared" si="26"/>
        <v>216</v>
      </c>
      <c r="AW35" s="43">
        <f t="shared" si="26"/>
        <v>0</v>
      </c>
      <c r="AX35" s="43">
        <f t="shared" si="26"/>
        <v>0</v>
      </c>
      <c r="AY35" s="43">
        <f t="shared" si="26"/>
        <v>0</v>
      </c>
      <c r="AZ35" s="43">
        <f t="shared" si="26"/>
        <v>0</v>
      </c>
      <c r="BA35" s="43">
        <f t="shared" si="26"/>
        <v>0</v>
      </c>
      <c r="BB35" s="43">
        <f t="shared" si="26"/>
        <v>0</v>
      </c>
      <c r="BC35" s="43">
        <f t="shared" si="26"/>
        <v>0</v>
      </c>
      <c r="BD35" s="43">
        <f t="shared" si="26"/>
        <v>0</v>
      </c>
      <c r="BE35" s="43">
        <f t="shared" si="26"/>
        <v>0</v>
      </c>
      <c r="BF35" s="43">
        <f t="shared" si="27"/>
        <v>0</v>
      </c>
      <c r="BG35" s="43">
        <f t="shared" si="27"/>
        <v>0</v>
      </c>
      <c r="BH35" s="43">
        <f t="shared" si="27"/>
        <v>0</v>
      </c>
      <c r="BI35" s="43">
        <f t="shared" si="27"/>
        <v>0</v>
      </c>
      <c r="BJ35" s="43">
        <f t="shared" si="27"/>
        <v>0</v>
      </c>
      <c r="BK35" s="43">
        <f t="shared" si="27"/>
        <v>0</v>
      </c>
      <c r="BL35" s="43">
        <f t="shared" si="27"/>
        <v>0</v>
      </c>
      <c r="BM35" s="43">
        <f t="shared" si="27"/>
        <v>0</v>
      </c>
      <c r="BN35" s="43">
        <f t="shared" si="27"/>
        <v>0</v>
      </c>
      <c r="BO35" s="43">
        <f t="shared" si="27"/>
        <v>0</v>
      </c>
      <c r="BP35" s="43">
        <f t="shared" si="28"/>
        <v>0</v>
      </c>
      <c r="BQ35" s="43">
        <f t="shared" si="28"/>
        <v>0</v>
      </c>
      <c r="BR35" s="43">
        <f t="shared" si="28"/>
        <v>0</v>
      </c>
      <c r="BS35" s="43">
        <f t="shared" si="28"/>
        <v>0</v>
      </c>
      <c r="BT35" s="43">
        <f t="shared" si="28"/>
        <v>0</v>
      </c>
      <c r="BU35" s="43">
        <f t="shared" si="28"/>
        <v>0</v>
      </c>
      <c r="BV35" s="43">
        <f t="shared" si="28"/>
        <v>0</v>
      </c>
      <c r="BW35" s="43">
        <f t="shared" si="28"/>
        <v>0</v>
      </c>
      <c r="BX35" s="43">
        <f t="shared" si="28"/>
        <v>0</v>
      </c>
      <c r="BY35" s="43">
        <f t="shared" si="28"/>
        <v>0</v>
      </c>
      <c r="BZ35" s="43">
        <f t="shared" si="28"/>
        <v>0</v>
      </c>
      <c r="CA35" s="43">
        <f t="shared" si="28"/>
        <v>0</v>
      </c>
    </row>
    <row r="36" spans="1:79" x14ac:dyDescent="0.25">
      <c r="A36" s="35">
        <v>5</v>
      </c>
      <c r="B36" s="8" t="s">
        <v>57</v>
      </c>
      <c r="C36" s="8"/>
      <c r="D36" s="8"/>
      <c r="E36" s="7">
        <v>1018</v>
      </c>
      <c r="F36" s="49">
        <v>504</v>
      </c>
      <c r="G36" s="5" t="s">
        <v>66</v>
      </c>
      <c r="H36" s="10">
        <f t="shared" si="8"/>
        <v>28.8</v>
      </c>
      <c r="I36" s="49">
        <f>VLOOKUP(B36,База!$B$8:$I$52,3,FALSE)*60</f>
        <v>24</v>
      </c>
      <c r="J36" s="35">
        <v>7.8</v>
      </c>
      <c r="K36" s="35">
        <f>VLOOKUP(B36,База!$B$8:$I$52,6,FALSE)</f>
        <v>1.5</v>
      </c>
      <c r="L36" s="35">
        <f t="shared" si="0"/>
        <v>288</v>
      </c>
      <c r="M36" s="9">
        <f t="shared" si="1"/>
        <v>28.8</v>
      </c>
      <c r="N36" s="53">
        <f t="shared" si="13"/>
        <v>361.15838222222226</v>
      </c>
      <c r="O36" s="53">
        <f t="shared" si="14"/>
        <v>389.95838222222227</v>
      </c>
      <c r="P36" s="53">
        <f t="shared" si="15"/>
        <v>28.800000000000011</v>
      </c>
      <c r="Q36" s="53">
        <f t="shared" si="16"/>
        <v>389.95838222222227</v>
      </c>
      <c r="R36" s="43">
        <f t="shared" si="23"/>
        <v>1</v>
      </c>
      <c r="S36" s="43">
        <f t="shared" si="23"/>
        <v>1</v>
      </c>
      <c r="T36" s="43">
        <f t="shared" si="23"/>
        <v>1</v>
      </c>
      <c r="U36" s="43">
        <f t="shared" si="23"/>
        <v>1</v>
      </c>
      <c r="V36" s="43">
        <f t="shared" si="23"/>
        <v>1</v>
      </c>
      <c r="W36" s="43">
        <f t="shared" si="23"/>
        <v>1</v>
      </c>
      <c r="X36" s="43">
        <f t="shared" si="23"/>
        <v>1</v>
      </c>
      <c r="Y36" s="43">
        <f t="shared" si="23"/>
        <v>1</v>
      </c>
      <c r="Z36" s="43">
        <f t="shared" si="23"/>
        <v>1</v>
      </c>
      <c r="AA36" s="43">
        <f t="shared" si="23"/>
        <v>1</v>
      </c>
      <c r="AB36" s="43">
        <f t="shared" si="24"/>
        <v>1</v>
      </c>
      <c r="AC36" s="43">
        <f t="shared" si="24"/>
        <v>1</v>
      </c>
      <c r="AD36" s="43">
        <f t="shared" si="24"/>
        <v>1</v>
      </c>
      <c r="AE36" s="43">
        <f t="shared" si="24"/>
        <v>1</v>
      </c>
      <c r="AF36" s="43">
        <f t="shared" si="24"/>
        <v>1</v>
      </c>
      <c r="AG36" s="43">
        <f t="shared" si="24"/>
        <v>1</v>
      </c>
      <c r="AH36" s="43">
        <f t="shared" si="24"/>
        <v>1</v>
      </c>
      <c r="AI36" s="43">
        <f t="shared" si="24"/>
        <v>1</v>
      </c>
      <c r="AJ36" s="43">
        <f t="shared" si="24"/>
        <v>1</v>
      </c>
      <c r="AK36" s="43">
        <f t="shared" si="24"/>
        <v>1</v>
      </c>
      <c r="AL36" s="43">
        <f t="shared" si="25"/>
        <v>1</v>
      </c>
      <c r="AM36" s="43">
        <f t="shared" si="25"/>
        <v>1</v>
      </c>
      <c r="AN36" s="43">
        <f t="shared" si="25"/>
        <v>1</v>
      </c>
      <c r="AO36" s="43">
        <f t="shared" si="25"/>
        <v>1</v>
      </c>
      <c r="AP36" s="43">
        <f t="shared" si="25"/>
        <v>1</v>
      </c>
      <c r="AQ36" s="43">
        <f t="shared" si="25"/>
        <v>1</v>
      </c>
      <c r="AR36" s="43">
        <f t="shared" si="25"/>
        <v>1</v>
      </c>
      <c r="AS36" s="43">
        <f t="shared" si="25"/>
        <v>1</v>
      </c>
      <c r="AT36" s="43">
        <f t="shared" si="25"/>
        <v>1</v>
      </c>
      <c r="AU36" s="43">
        <f t="shared" si="25"/>
        <v>1</v>
      </c>
      <c r="AV36" s="43">
        <f t="shared" si="26"/>
        <v>1</v>
      </c>
      <c r="AW36" s="43">
        <f t="shared" si="26"/>
        <v>288</v>
      </c>
      <c r="AX36" s="43">
        <f t="shared" si="26"/>
        <v>288</v>
      </c>
      <c r="AY36" s="43">
        <f t="shared" si="26"/>
        <v>0</v>
      </c>
      <c r="AZ36" s="43">
        <f t="shared" si="26"/>
        <v>0</v>
      </c>
      <c r="BA36" s="43">
        <f t="shared" si="26"/>
        <v>0</v>
      </c>
      <c r="BB36" s="43">
        <f t="shared" si="26"/>
        <v>0</v>
      </c>
      <c r="BC36" s="43">
        <f t="shared" si="26"/>
        <v>0</v>
      </c>
      <c r="BD36" s="43">
        <f t="shared" si="26"/>
        <v>0</v>
      </c>
      <c r="BE36" s="43">
        <f t="shared" si="26"/>
        <v>0</v>
      </c>
      <c r="BF36" s="43">
        <f t="shared" si="27"/>
        <v>0</v>
      </c>
      <c r="BG36" s="43">
        <f t="shared" si="27"/>
        <v>0</v>
      </c>
      <c r="BH36" s="43">
        <f t="shared" si="27"/>
        <v>0</v>
      </c>
      <c r="BI36" s="43">
        <f t="shared" si="27"/>
        <v>0</v>
      </c>
      <c r="BJ36" s="43">
        <f t="shared" si="27"/>
        <v>0</v>
      </c>
      <c r="BK36" s="43">
        <f t="shared" si="27"/>
        <v>0</v>
      </c>
      <c r="BL36" s="43">
        <f t="shared" si="27"/>
        <v>0</v>
      </c>
      <c r="BM36" s="43">
        <f t="shared" si="27"/>
        <v>0</v>
      </c>
      <c r="BN36" s="43">
        <f t="shared" si="27"/>
        <v>0</v>
      </c>
      <c r="BO36" s="43">
        <f t="shared" si="27"/>
        <v>0</v>
      </c>
      <c r="BP36" s="43">
        <f t="shared" si="28"/>
        <v>0</v>
      </c>
      <c r="BQ36" s="43">
        <f t="shared" si="28"/>
        <v>0</v>
      </c>
      <c r="BR36" s="43">
        <f t="shared" si="28"/>
        <v>0</v>
      </c>
      <c r="BS36" s="43">
        <f t="shared" si="28"/>
        <v>0</v>
      </c>
      <c r="BT36" s="43">
        <f t="shared" si="28"/>
        <v>0</v>
      </c>
      <c r="BU36" s="43">
        <f t="shared" si="28"/>
        <v>0</v>
      </c>
      <c r="BV36" s="43">
        <f t="shared" si="28"/>
        <v>0</v>
      </c>
      <c r="BW36" s="43">
        <f t="shared" si="28"/>
        <v>0</v>
      </c>
      <c r="BX36" s="43">
        <f t="shared" si="28"/>
        <v>0</v>
      </c>
      <c r="BY36" s="43">
        <f t="shared" si="28"/>
        <v>0</v>
      </c>
      <c r="BZ36" s="43">
        <f t="shared" si="28"/>
        <v>0</v>
      </c>
      <c r="CA36" s="43">
        <f t="shared" si="28"/>
        <v>0</v>
      </c>
    </row>
    <row r="37" spans="1:79" x14ac:dyDescent="0.25">
      <c r="A37" s="35">
        <v>6</v>
      </c>
      <c r="B37" s="8" t="s">
        <v>24</v>
      </c>
      <c r="C37" s="8"/>
      <c r="D37" s="8"/>
      <c r="E37" s="7">
        <v>1018</v>
      </c>
      <c r="F37" s="49">
        <v>1854.3576167076169</v>
      </c>
      <c r="G37" s="5" t="s">
        <v>66</v>
      </c>
      <c r="H37" s="10">
        <f t="shared" si="8"/>
        <v>111.21986759486761</v>
      </c>
      <c r="I37" s="49">
        <f>VLOOKUP(B37,База!$B$8:$I$52,3,FALSE)*60</f>
        <v>18</v>
      </c>
      <c r="J37" s="35">
        <v>8.1999999999999993</v>
      </c>
      <c r="K37" s="35">
        <f>VLOOKUP(B37,База!$B$8:$I$52,6,FALSE)</f>
        <v>3</v>
      </c>
      <c r="L37" s="35">
        <f t="shared" si="0"/>
        <v>216</v>
      </c>
      <c r="M37" s="9">
        <f t="shared" si="1"/>
        <v>111.21986759486761</v>
      </c>
      <c r="N37" s="53">
        <f t="shared" si="13"/>
        <v>389.95838222222227</v>
      </c>
      <c r="O37" s="53">
        <f t="shared" si="14"/>
        <v>501.17824981708986</v>
      </c>
      <c r="P37" s="53">
        <f t="shared" si="15"/>
        <v>111.21986759486759</v>
      </c>
      <c r="Q37" s="53">
        <f t="shared" si="16"/>
        <v>501.17824981708986</v>
      </c>
      <c r="R37" s="43">
        <f t="shared" si="23"/>
        <v>1</v>
      </c>
      <c r="S37" s="43">
        <f t="shared" si="23"/>
        <v>1</v>
      </c>
      <c r="T37" s="43">
        <f t="shared" si="23"/>
        <v>1</v>
      </c>
      <c r="U37" s="43">
        <f t="shared" si="23"/>
        <v>1</v>
      </c>
      <c r="V37" s="43">
        <f t="shared" si="23"/>
        <v>1</v>
      </c>
      <c r="W37" s="43">
        <f t="shared" si="23"/>
        <v>1</v>
      </c>
      <c r="X37" s="43">
        <f t="shared" si="23"/>
        <v>1</v>
      </c>
      <c r="Y37" s="43">
        <f t="shared" si="23"/>
        <v>1</v>
      </c>
      <c r="Z37" s="43">
        <f t="shared" si="23"/>
        <v>1</v>
      </c>
      <c r="AA37" s="43">
        <f t="shared" si="23"/>
        <v>1</v>
      </c>
      <c r="AB37" s="43">
        <f t="shared" si="24"/>
        <v>1</v>
      </c>
      <c r="AC37" s="43">
        <f t="shared" si="24"/>
        <v>1</v>
      </c>
      <c r="AD37" s="43">
        <f t="shared" si="24"/>
        <v>1</v>
      </c>
      <c r="AE37" s="43">
        <f t="shared" si="24"/>
        <v>1</v>
      </c>
      <c r="AF37" s="43">
        <f t="shared" si="24"/>
        <v>1</v>
      </c>
      <c r="AG37" s="43">
        <f t="shared" si="24"/>
        <v>1</v>
      </c>
      <c r="AH37" s="43">
        <f t="shared" si="24"/>
        <v>1</v>
      </c>
      <c r="AI37" s="43">
        <f t="shared" si="24"/>
        <v>1</v>
      </c>
      <c r="AJ37" s="43">
        <f t="shared" si="24"/>
        <v>1</v>
      </c>
      <c r="AK37" s="43">
        <f t="shared" si="24"/>
        <v>1</v>
      </c>
      <c r="AL37" s="43">
        <f t="shared" si="25"/>
        <v>1</v>
      </c>
      <c r="AM37" s="43">
        <f t="shared" si="25"/>
        <v>1</v>
      </c>
      <c r="AN37" s="43">
        <f t="shared" si="25"/>
        <v>1</v>
      </c>
      <c r="AO37" s="43">
        <f t="shared" si="25"/>
        <v>1</v>
      </c>
      <c r="AP37" s="43">
        <f t="shared" si="25"/>
        <v>1</v>
      </c>
      <c r="AQ37" s="43">
        <f t="shared" si="25"/>
        <v>1</v>
      </c>
      <c r="AR37" s="43">
        <f t="shared" si="25"/>
        <v>1</v>
      </c>
      <c r="AS37" s="43">
        <f t="shared" si="25"/>
        <v>1</v>
      </c>
      <c r="AT37" s="43">
        <f t="shared" si="25"/>
        <v>1</v>
      </c>
      <c r="AU37" s="43">
        <f t="shared" si="25"/>
        <v>1</v>
      </c>
      <c r="AV37" s="43">
        <f t="shared" si="26"/>
        <v>1</v>
      </c>
      <c r="AW37" s="43">
        <f t="shared" si="26"/>
        <v>1</v>
      </c>
      <c r="AX37" s="43">
        <f t="shared" si="26"/>
        <v>1</v>
      </c>
      <c r="AY37" s="43">
        <f t="shared" si="26"/>
        <v>216</v>
      </c>
      <c r="AZ37" s="43">
        <f t="shared" si="26"/>
        <v>216</v>
      </c>
      <c r="BA37" s="43">
        <f t="shared" si="26"/>
        <v>216</v>
      </c>
      <c r="BB37" s="43">
        <f t="shared" si="26"/>
        <v>216</v>
      </c>
      <c r="BC37" s="43">
        <f t="shared" si="26"/>
        <v>216</v>
      </c>
      <c r="BD37" s="43">
        <f t="shared" si="26"/>
        <v>216</v>
      </c>
      <c r="BE37" s="43">
        <f t="shared" si="26"/>
        <v>216</v>
      </c>
      <c r="BF37" s="43">
        <f t="shared" si="27"/>
        <v>216</v>
      </c>
      <c r="BG37" s="43">
        <f t="shared" si="27"/>
        <v>216</v>
      </c>
      <c r="BH37" s="43">
        <f t="shared" si="27"/>
        <v>0</v>
      </c>
      <c r="BI37" s="43">
        <f t="shared" si="27"/>
        <v>0</v>
      </c>
      <c r="BJ37" s="43">
        <f t="shared" si="27"/>
        <v>0</v>
      </c>
      <c r="BK37" s="43">
        <f t="shared" si="27"/>
        <v>0</v>
      </c>
      <c r="BL37" s="43">
        <f t="shared" si="27"/>
        <v>0</v>
      </c>
      <c r="BM37" s="43">
        <f t="shared" si="27"/>
        <v>0</v>
      </c>
      <c r="BN37" s="43">
        <f t="shared" si="27"/>
        <v>0</v>
      </c>
      <c r="BO37" s="43">
        <f t="shared" si="27"/>
        <v>0</v>
      </c>
      <c r="BP37" s="43">
        <f t="shared" si="28"/>
        <v>0</v>
      </c>
      <c r="BQ37" s="43">
        <f t="shared" si="28"/>
        <v>0</v>
      </c>
      <c r="BR37" s="43">
        <f t="shared" si="28"/>
        <v>0</v>
      </c>
      <c r="BS37" s="43">
        <f t="shared" si="28"/>
        <v>0</v>
      </c>
      <c r="BT37" s="43">
        <f t="shared" si="28"/>
        <v>0</v>
      </c>
      <c r="BU37" s="43">
        <f t="shared" si="28"/>
        <v>0</v>
      </c>
      <c r="BV37" s="43">
        <f t="shared" si="28"/>
        <v>0</v>
      </c>
      <c r="BW37" s="43">
        <f t="shared" si="28"/>
        <v>0</v>
      </c>
      <c r="BX37" s="43">
        <f t="shared" si="28"/>
        <v>0</v>
      </c>
      <c r="BY37" s="43">
        <f t="shared" si="28"/>
        <v>0</v>
      </c>
      <c r="BZ37" s="43">
        <f t="shared" si="28"/>
        <v>0</v>
      </c>
      <c r="CA37" s="43">
        <f t="shared" si="28"/>
        <v>0</v>
      </c>
    </row>
    <row r="38" spans="1:79" x14ac:dyDescent="0.25">
      <c r="A38" s="35">
        <v>7</v>
      </c>
      <c r="B38" s="8" t="s">
        <v>16</v>
      </c>
      <c r="C38" s="8"/>
      <c r="D38" s="8"/>
      <c r="E38" s="7">
        <v>1018</v>
      </c>
      <c r="F38" s="49">
        <v>2219</v>
      </c>
      <c r="G38" s="5" t="s">
        <v>66</v>
      </c>
      <c r="H38" s="10">
        <f t="shared" si="8"/>
        <v>101.05833333333332</v>
      </c>
      <c r="I38" s="49">
        <f>VLOOKUP(B38,База!$B$8:$I$52,3,FALSE)*60</f>
        <v>24</v>
      </c>
      <c r="J38" s="35">
        <v>8.6</v>
      </c>
      <c r="K38" s="35">
        <f>VLOOKUP(B38,База!$B$8:$I$52,6,FALSE)</f>
        <v>1.5</v>
      </c>
      <c r="L38" s="35">
        <f t="shared" si="0"/>
        <v>288</v>
      </c>
      <c r="M38" s="9">
        <f t="shared" si="1"/>
        <v>101.05833333333332</v>
      </c>
      <c r="N38" s="53">
        <f t="shared" si="13"/>
        <v>501.17824981708986</v>
      </c>
      <c r="O38" s="53">
        <f t="shared" si="14"/>
        <v>602.23658315042314</v>
      </c>
      <c r="P38" s="53">
        <f t="shared" si="15"/>
        <v>101.05833333333328</v>
      </c>
      <c r="Q38" s="53">
        <f t="shared" si="16"/>
        <v>602.23658315042314</v>
      </c>
      <c r="R38" s="43">
        <f t="shared" si="23"/>
        <v>1</v>
      </c>
      <c r="S38" s="43">
        <f t="shared" si="23"/>
        <v>1</v>
      </c>
      <c r="T38" s="43">
        <f t="shared" si="23"/>
        <v>1</v>
      </c>
      <c r="U38" s="43">
        <f t="shared" si="23"/>
        <v>1</v>
      </c>
      <c r="V38" s="43">
        <f t="shared" si="23"/>
        <v>1</v>
      </c>
      <c r="W38" s="43">
        <f t="shared" si="23"/>
        <v>1</v>
      </c>
      <c r="X38" s="43">
        <f t="shared" si="23"/>
        <v>1</v>
      </c>
      <c r="Y38" s="43">
        <f t="shared" si="23"/>
        <v>1</v>
      </c>
      <c r="Z38" s="43">
        <f t="shared" si="23"/>
        <v>1</v>
      </c>
      <c r="AA38" s="43">
        <f t="shared" si="23"/>
        <v>1</v>
      </c>
      <c r="AB38" s="43">
        <f t="shared" si="24"/>
        <v>1</v>
      </c>
      <c r="AC38" s="43">
        <f t="shared" si="24"/>
        <v>1</v>
      </c>
      <c r="AD38" s="43">
        <f t="shared" si="24"/>
        <v>1</v>
      </c>
      <c r="AE38" s="43">
        <f t="shared" si="24"/>
        <v>1</v>
      </c>
      <c r="AF38" s="43">
        <f t="shared" si="24"/>
        <v>1</v>
      </c>
      <c r="AG38" s="43">
        <f t="shared" si="24"/>
        <v>1</v>
      </c>
      <c r="AH38" s="43">
        <f t="shared" si="24"/>
        <v>1</v>
      </c>
      <c r="AI38" s="43">
        <f t="shared" si="24"/>
        <v>1</v>
      </c>
      <c r="AJ38" s="43">
        <f t="shared" si="24"/>
        <v>1</v>
      </c>
      <c r="AK38" s="43">
        <f t="shared" si="24"/>
        <v>1</v>
      </c>
      <c r="AL38" s="43">
        <f t="shared" si="25"/>
        <v>1</v>
      </c>
      <c r="AM38" s="43">
        <f t="shared" si="25"/>
        <v>1</v>
      </c>
      <c r="AN38" s="43">
        <f t="shared" si="25"/>
        <v>1</v>
      </c>
      <c r="AO38" s="43">
        <f t="shared" si="25"/>
        <v>1</v>
      </c>
      <c r="AP38" s="43">
        <f t="shared" si="25"/>
        <v>1</v>
      </c>
      <c r="AQ38" s="43">
        <f t="shared" si="25"/>
        <v>1</v>
      </c>
      <c r="AR38" s="43">
        <f t="shared" si="25"/>
        <v>1</v>
      </c>
      <c r="AS38" s="43">
        <f t="shared" si="25"/>
        <v>1</v>
      </c>
      <c r="AT38" s="43">
        <f t="shared" si="25"/>
        <v>1</v>
      </c>
      <c r="AU38" s="43">
        <f t="shared" si="25"/>
        <v>1</v>
      </c>
      <c r="AV38" s="43">
        <f t="shared" si="26"/>
        <v>1</v>
      </c>
      <c r="AW38" s="43">
        <f t="shared" si="26"/>
        <v>1</v>
      </c>
      <c r="AX38" s="43">
        <f t="shared" si="26"/>
        <v>1</v>
      </c>
      <c r="AY38" s="43">
        <f t="shared" si="26"/>
        <v>1</v>
      </c>
      <c r="AZ38" s="43">
        <f t="shared" si="26"/>
        <v>1</v>
      </c>
      <c r="BA38" s="43">
        <f t="shared" si="26"/>
        <v>1</v>
      </c>
      <c r="BB38" s="43">
        <f t="shared" si="26"/>
        <v>1</v>
      </c>
      <c r="BC38" s="43">
        <f t="shared" si="26"/>
        <v>1</v>
      </c>
      <c r="BD38" s="43">
        <f t="shared" si="26"/>
        <v>1</v>
      </c>
      <c r="BE38" s="43">
        <f t="shared" si="26"/>
        <v>1</v>
      </c>
      <c r="BF38" s="43">
        <f t="shared" si="27"/>
        <v>1</v>
      </c>
      <c r="BG38" s="43">
        <f t="shared" si="27"/>
        <v>1</v>
      </c>
      <c r="BH38" s="43">
        <f t="shared" si="27"/>
        <v>288</v>
      </c>
      <c r="BI38" s="43">
        <f t="shared" si="27"/>
        <v>288</v>
      </c>
      <c r="BJ38" s="43">
        <f t="shared" si="27"/>
        <v>288</v>
      </c>
      <c r="BK38" s="43">
        <f t="shared" si="27"/>
        <v>288</v>
      </c>
      <c r="BL38" s="43">
        <f t="shared" si="27"/>
        <v>288</v>
      </c>
      <c r="BM38" s="43">
        <f t="shared" si="27"/>
        <v>288</v>
      </c>
      <c r="BN38" s="43">
        <f t="shared" si="27"/>
        <v>288</v>
      </c>
      <c r="BO38" s="43">
        <f t="shared" si="27"/>
        <v>288</v>
      </c>
      <c r="BP38" s="43">
        <f t="shared" si="28"/>
        <v>288</v>
      </c>
      <c r="BQ38" s="43">
        <f t="shared" si="28"/>
        <v>0</v>
      </c>
      <c r="BR38" s="43">
        <f t="shared" si="28"/>
        <v>0</v>
      </c>
      <c r="BS38" s="43">
        <f t="shared" si="28"/>
        <v>0</v>
      </c>
      <c r="BT38" s="43">
        <f t="shared" si="28"/>
        <v>0</v>
      </c>
      <c r="BU38" s="43">
        <f t="shared" si="28"/>
        <v>0</v>
      </c>
      <c r="BV38" s="43">
        <f t="shared" si="28"/>
        <v>0</v>
      </c>
      <c r="BW38" s="43">
        <f t="shared" si="28"/>
        <v>0</v>
      </c>
      <c r="BX38" s="43">
        <f t="shared" si="28"/>
        <v>0</v>
      </c>
      <c r="BY38" s="43">
        <f t="shared" si="28"/>
        <v>0</v>
      </c>
      <c r="BZ38" s="43">
        <f t="shared" si="28"/>
        <v>0</v>
      </c>
      <c r="CA38" s="43">
        <f t="shared" si="28"/>
        <v>0</v>
      </c>
    </row>
    <row r="39" spans="1:79" x14ac:dyDescent="0.25">
      <c r="A39" s="35">
        <v>8</v>
      </c>
      <c r="B39" s="8" t="s">
        <v>61</v>
      </c>
      <c r="C39" s="8"/>
      <c r="D39" s="8"/>
      <c r="E39" s="7">
        <v>1018</v>
      </c>
      <c r="F39" s="49">
        <v>24</v>
      </c>
      <c r="G39" s="5" t="s">
        <v>66</v>
      </c>
      <c r="H39" s="10">
        <f t="shared" si="8"/>
        <v>10</v>
      </c>
      <c r="I39" s="49">
        <f>VLOOKUP(B39,База!$B$8:$I$52,3,FALSE)*60</f>
        <v>24</v>
      </c>
      <c r="J39" s="35">
        <v>9</v>
      </c>
      <c r="K39" s="35">
        <f>VLOOKUP(B39,База!$B$8:$I$52,6,FALSE)</f>
        <v>1.5</v>
      </c>
      <c r="L39" s="35">
        <f t="shared" si="0"/>
        <v>288</v>
      </c>
      <c r="M39" s="9">
        <f t="shared" si="1"/>
        <v>10</v>
      </c>
      <c r="N39" s="53">
        <f t="shared" si="13"/>
        <v>602.23658315042314</v>
      </c>
      <c r="O39" s="53">
        <f t="shared" si="14"/>
        <v>612.23658315042314</v>
      </c>
      <c r="P39" s="53">
        <f t="shared" si="15"/>
        <v>10</v>
      </c>
      <c r="Q39" s="53">
        <f t="shared" si="16"/>
        <v>612.23658315042314</v>
      </c>
      <c r="R39" s="43">
        <f t="shared" si="23"/>
        <v>1</v>
      </c>
      <c r="S39" s="43">
        <f t="shared" si="23"/>
        <v>1</v>
      </c>
      <c r="T39" s="43">
        <f t="shared" si="23"/>
        <v>1</v>
      </c>
      <c r="U39" s="43">
        <f t="shared" si="23"/>
        <v>1</v>
      </c>
      <c r="V39" s="43">
        <f t="shared" si="23"/>
        <v>1</v>
      </c>
      <c r="W39" s="43">
        <f t="shared" si="23"/>
        <v>1</v>
      </c>
      <c r="X39" s="43">
        <f t="shared" si="23"/>
        <v>1</v>
      </c>
      <c r="Y39" s="43">
        <f t="shared" si="23"/>
        <v>1</v>
      </c>
      <c r="Z39" s="43">
        <f t="shared" si="23"/>
        <v>1</v>
      </c>
      <c r="AA39" s="43">
        <f t="shared" si="23"/>
        <v>1</v>
      </c>
      <c r="AB39" s="43">
        <f t="shared" si="24"/>
        <v>1</v>
      </c>
      <c r="AC39" s="43">
        <f t="shared" si="24"/>
        <v>1</v>
      </c>
      <c r="AD39" s="43">
        <f t="shared" si="24"/>
        <v>1</v>
      </c>
      <c r="AE39" s="43">
        <f t="shared" si="24"/>
        <v>1</v>
      </c>
      <c r="AF39" s="43">
        <f t="shared" si="24"/>
        <v>1</v>
      </c>
      <c r="AG39" s="43">
        <f t="shared" si="24"/>
        <v>1</v>
      </c>
      <c r="AH39" s="43">
        <f t="shared" si="24"/>
        <v>1</v>
      </c>
      <c r="AI39" s="43">
        <f t="shared" si="24"/>
        <v>1</v>
      </c>
      <c r="AJ39" s="43">
        <f t="shared" si="24"/>
        <v>1</v>
      </c>
      <c r="AK39" s="43">
        <f t="shared" si="24"/>
        <v>1</v>
      </c>
      <c r="AL39" s="43">
        <f t="shared" si="25"/>
        <v>1</v>
      </c>
      <c r="AM39" s="43">
        <f t="shared" si="25"/>
        <v>1</v>
      </c>
      <c r="AN39" s="43">
        <f t="shared" si="25"/>
        <v>1</v>
      </c>
      <c r="AO39" s="43">
        <f t="shared" si="25"/>
        <v>1</v>
      </c>
      <c r="AP39" s="43">
        <f t="shared" si="25"/>
        <v>1</v>
      </c>
      <c r="AQ39" s="43">
        <f t="shared" si="25"/>
        <v>1</v>
      </c>
      <c r="AR39" s="43">
        <f t="shared" si="25"/>
        <v>1</v>
      </c>
      <c r="AS39" s="43">
        <f t="shared" si="25"/>
        <v>1</v>
      </c>
      <c r="AT39" s="43">
        <f t="shared" si="25"/>
        <v>1</v>
      </c>
      <c r="AU39" s="43">
        <f t="shared" si="25"/>
        <v>1</v>
      </c>
      <c r="AV39" s="43">
        <f t="shared" si="26"/>
        <v>1</v>
      </c>
      <c r="AW39" s="43">
        <f t="shared" si="26"/>
        <v>1</v>
      </c>
      <c r="AX39" s="43">
        <f t="shared" si="26"/>
        <v>1</v>
      </c>
      <c r="AY39" s="43">
        <f t="shared" si="26"/>
        <v>1</v>
      </c>
      <c r="AZ39" s="43">
        <f t="shared" si="26"/>
        <v>1</v>
      </c>
      <c r="BA39" s="43">
        <f t="shared" si="26"/>
        <v>1</v>
      </c>
      <c r="BB39" s="43">
        <f t="shared" si="26"/>
        <v>1</v>
      </c>
      <c r="BC39" s="43">
        <f t="shared" si="26"/>
        <v>1</v>
      </c>
      <c r="BD39" s="43">
        <f t="shared" si="26"/>
        <v>1</v>
      </c>
      <c r="BE39" s="43">
        <f t="shared" si="26"/>
        <v>1</v>
      </c>
      <c r="BF39" s="43">
        <f t="shared" si="27"/>
        <v>1</v>
      </c>
      <c r="BG39" s="43">
        <f t="shared" si="27"/>
        <v>1</v>
      </c>
      <c r="BH39" s="43">
        <f t="shared" si="27"/>
        <v>1</v>
      </c>
      <c r="BI39" s="43">
        <f t="shared" si="27"/>
        <v>1</v>
      </c>
      <c r="BJ39" s="43">
        <f t="shared" si="27"/>
        <v>1</v>
      </c>
      <c r="BK39" s="43">
        <f t="shared" si="27"/>
        <v>1</v>
      </c>
      <c r="BL39" s="43">
        <f t="shared" si="27"/>
        <v>1</v>
      </c>
      <c r="BM39" s="43">
        <f t="shared" si="27"/>
        <v>1</v>
      </c>
      <c r="BN39" s="43">
        <f t="shared" si="27"/>
        <v>1</v>
      </c>
      <c r="BO39" s="43">
        <f t="shared" si="27"/>
        <v>1</v>
      </c>
      <c r="BP39" s="43">
        <f t="shared" si="28"/>
        <v>1</v>
      </c>
      <c r="BQ39" s="43">
        <f t="shared" si="28"/>
        <v>288</v>
      </c>
      <c r="BR39" s="43">
        <f t="shared" si="28"/>
        <v>0</v>
      </c>
      <c r="BS39" s="43">
        <f t="shared" si="28"/>
        <v>0</v>
      </c>
      <c r="BT39" s="43">
        <f t="shared" si="28"/>
        <v>0</v>
      </c>
      <c r="BU39" s="43">
        <f t="shared" si="28"/>
        <v>0</v>
      </c>
      <c r="BV39" s="43">
        <f t="shared" si="28"/>
        <v>0</v>
      </c>
      <c r="BW39" s="43">
        <f t="shared" si="28"/>
        <v>0</v>
      </c>
      <c r="BX39" s="43">
        <f t="shared" si="28"/>
        <v>0</v>
      </c>
      <c r="BY39" s="43">
        <f t="shared" si="28"/>
        <v>0</v>
      </c>
      <c r="BZ39" s="43">
        <f t="shared" si="28"/>
        <v>0</v>
      </c>
      <c r="CA39" s="43">
        <f t="shared" si="28"/>
        <v>0</v>
      </c>
    </row>
    <row r="40" spans="1:79" x14ac:dyDescent="0.25">
      <c r="A40" s="35">
        <v>23</v>
      </c>
      <c r="B40" s="8"/>
      <c r="C40" s="8"/>
      <c r="D40" s="8"/>
      <c r="E40" s="7"/>
      <c r="F40" s="49"/>
      <c r="G40" s="5"/>
      <c r="H40" s="10">
        <f t="shared" si="8"/>
        <v>0</v>
      </c>
      <c r="I40" s="49" t="e">
        <f>VLOOKUP(B40,База!$B$8:$I$52,3,FALSE)*60</f>
        <v>#N/A</v>
      </c>
      <c r="J40" s="35" t="e">
        <f>VLOOKUP(B40,База!$B$8:$I$52,7,FALSE)*I40</f>
        <v>#N/A</v>
      </c>
      <c r="K40" s="35" t="e">
        <f>VLOOKUP(B40,База!$B$8:$I$52,6,FALSE)</f>
        <v>#N/A</v>
      </c>
      <c r="L40" s="35" t="e">
        <f t="shared" si="0"/>
        <v>#N/A</v>
      </c>
      <c r="M40" s="9">
        <f t="shared" si="1"/>
        <v>0</v>
      </c>
      <c r="N40" s="53">
        <f t="shared" si="13"/>
        <v>612.23658315042314</v>
      </c>
      <c r="O40" s="53">
        <f t="shared" si="14"/>
        <v>612.23658315042314</v>
      </c>
      <c r="P40" s="53">
        <f t="shared" si="15"/>
        <v>0</v>
      </c>
      <c r="Q40" s="53">
        <f t="shared" si="16"/>
        <v>612.23658315042314</v>
      </c>
      <c r="R40" s="43">
        <f t="shared" si="23"/>
        <v>1</v>
      </c>
      <c r="S40" s="43">
        <f t="shared" si="23"/>
        <v>1</v>
      </c>
      <c r="T40" s="43">
        <f t="shared" si="23"/>
        <v>1</v>
      </c>
      <c r="U40" s="43">
        <f t="shared" si="23"/>
        <v>1</v>
      </c>
      <c r="V40" s="43">
        <f t="shared" si="23"/>
        <v>1</v>
      </c>
      <c r="W40" s="43">
        <f t="shared" si="23"/>
        <v>1</v>
      </c>
      <c r="X40" s="43">
        <f t="shared" si="23"/>
        <v>1</v>
      </c>
      <c r="Y40" s="43">
        <f t="shared" si="23"/>
        <v>1</v>
      </c>
      <c r="Z40" s="43">
        <f t="shared" si="23"/>
        <v>1</v>
      </c>
      <c r="AA40" s="43">
        <f t="shared" si="23"/>
        <v>1</v>
      </c>
      <c r="AB40" s="43">
        <f t="shared" si="24"/>
        <v>1</v>
      </c>
      <c r="AC40" s="43">
        <f t="shared" si="24"/>
        <v>1</v>
      </c>
      <c r="AD40" s="43">
        <f t="shared" si="24"/>
        <v>1</v>
      </c>
      <c r="AE40" s="43">
        <f t="shared" si="24"/>
        <v>1</v>
      </c>
      <c r="AF40" s="43">
        <f t="shared" si="24"/>
        <v>1</v>
      </c>
      <c r="AG40" s="43">
        <f t="shared" si="24"/>
        <v>1</v>
      </c>
      <c r="AH40" s="43">
        <f t="shared" si="24"/>
        <v>1</v>
      </c>
      <c r="AI40" s="43">
        <f t="shared" si="24"/>
        <v>1</v>
      </c>
      <c r="AJ40" s="43">
        <f t="shared" si="24"/>
        <v>1</v>
      </c>
      <c r="AK40" s="43">
        <f t="shared" si="24"/>
        <v>1</v>
      </c>
      <c r="AL40" s="43">
        <f t="shared" si="25"/>
        <v>1</v>
      </c>
      <c r="AM40" s="43">
        <f t="shared" si="25"/>
        <v>1</v>
      </c>
      <c r="AN40" s="43">
        <f t="shared" si="25"/>
        <v>1</v>
      </c>
      <c r="AO40" s="43">
        <f t="shared" si="25"/>
        <v>1</v>
      </c>
      <c r="AP40" s="43">
        <f t="shared" si="25"/>
        <v>1</v>
      </c>
      <c r="AQ40" s="43">
        <f t="shared" si="25"/>
        <v>1</v>
      </c>
      <c r="AR40" s="43">
        <f t="shared" si="25"/>
        <v>1</v>
      </c>
      <c r="AS40" s="43">
        <f t="shared" si="25"/>
        <v>1</v>
      </c>
      <c r="AT40" s="43">
        <f t="shared" si="25"/>
        <v>1</v>
      </c>
      <c r="AU40" s="43">
        <f t="shared" si="25"/>
        <v>1</v>
      </c>
      <c r="AV40" s="43">
        <f t="shared" si="26"/>
        <v>1</v>
      </c>
      <c r="AW40" s="43">
        <f t="shared" si="26"/>
        <v>1</v>
      </c>
      <c r="AX40" s="43">
        <f t="shared" si="26"/>
        <v>1</v>
      </c>
      <c r="AY40" s="43">
        <f t="shared" si="26"/>
        <v>1</v>
      </c>
      <c r="AZ40" s="43">
        <f t="shared" si="26"/>
        <v>1</v>
      </c>
      <c r="BA40" s="43">
        <f t="shared" si="26"/>
        <v>1</v>
      </c>
      <c r="BB40" s="43">
        <f t="shared" si="26"/>
        <v>1</v>
      </c>
      <c r="BC40" s="43">
        <f t="shared" si="26"/>
        <v>1</v>
      </c>
      <c r="BD40" s="43">
        <f t="shared" si="26"/>
        <v>1</v>
      </c>
      <c r="BE40" s="43">
        <f t="shared" si="26"/>
        <v>1</v>
      </c>
      <c r="BF40" s="43">
        <f t="shared" si="27"/>
        <v>1</v>
      </c>
      <c r="BG40" s="43">
        <f t="shared" si="27"/>
        <v>1</v>
      </c>
      <c r="BH40" s="43">
        <f t="shared" si="27"/>
        <v>1</v>
      </c>
      <c r="BI40" s="43">
        <f t="shared" si="27"/>
        <v>1</v>
      </c>
      <c r="BJ40" s="43">
        <f t="shared" si="27"/>
        <v>1</v>
      </c>
      <c r="BK40" s="43">
        <f t="shared" si="27"/>
        <v>1</v>
      </c>
      <c r="BL40" s="43">
        <f t="shared" si="27"/>
        <v>1</v>
      </c>
      <c r="BM40" s="43">
        <f t="shared" si="27"/>
        <v>1</v>
      </c>
      <c r="BN40" s="43">
        <f t="shared" si="27"/>
        <v>1</v>
      </c>
      <c r="BO40" s="43">
        <f t="shared" si="27"/>
        <v>1</v>
      </c>
      <c r="BP40" s="43">
        <f t="shared" si="28"/>
        <v>1</v>
      </c>
      <c r="BQ40" s="43">
        <f t="shared" si="28"/>
        <v>1</v>
      </c>
      <c r="BR40" s="43">
        <f t="shared" si="28"/>
        <v>0</v>
      </c>
      <c r="BS40" s="43">
        <f t="shared" si="28"/>
        <v>0</v>
      </c>
      <c r="BT40" s="43">
        <f t="shared" si="28"/>
        <v>0</v>
      </c>
      <c r="BU40" s="43">
        <f t="shared" si="28"/>
        <v>0</v>
      </c>
      <c r="BV40" s="43">
        <f t="shared" si="28"/>
        <v>0</v>
      </c>
      <c r="BW40" s="43">
        <f t="shared" si="28"/>
        <v>0</v>
      </c>
      <c r="BX40" s="43">
        <f t="shared" si="28"/>
        <v>0</v>
      </c>
      <c r="BY40" s="43">
        <f t="shared" si="28"/>
        <v>0</v>
      </c>
      <c r="BZ40" s="43">
        <f t="shared" si="28"/>
        <v>0</v>
      </c>
      <c r="CA40" s="43">
        <f t="shared" si="28"/>
        <v>0</v>
      </c>
    </row>
    <row r="41" spans="1:79" x14ac:dyDescent="0.25">
      <c r="A41" s="35">
        <v>24</v>
      </c>
      <c r="B41" s="8"/>
      <c r="C41" s="8"/>
      <c r="D41" s="8"/>
      <c r="E41" s="7"/>
      <c r="F41" s="49"/>
      <c r="G41" s="5"/>
      <c r="H41" s="10">
        <f t="shared" si="8"/>
        <v>0</v>
      </c>
      <c r="I41" s="49" t="e">
        <f>VLOOKUP(B41,База!$B$8:$I$52,3,FALSE)*60</f>
        <v>#N/A</v>
      </c>
      <c r="J41" s="35" t="e">
        <f>VLOOKUP(B41,База!$B$8:$I$52,7,FALSE)*I41</f>
        <v>#N/A</v>
      </c>
      <c r="K41" s="35" t="e">
        <f>VLOOKUP(B41,База!$B$8:$I$52,6,FALSE)</f>
        <v>#N/A</v>
      </c>
      <c r="L41" s="35" t="e">
        <f t="shared" si="0"/>
        <v>#N/A</v>
      </c>
      <c r="M41" s="9">
        <f t="shared" si="1"/>
        <v>0</v>
      </c>
      <c r="N41" s="53">
        <f t="shared" si="13"/>
        <v>612.23658315042314</v>
      </c>
      <c r="O41" s="53">
        <f t="shared" si="14"/>
        <v>612.23658315042314</v>
      </c>
      <c r="P41" s="53">
        <f t="shared" si="15"/>
        <v>0</v>
      </c>
      <c r="Q41" s="53">
        <f t="shared" si="16"/>
        <v>612.23658315042314</v>
      </c>
      <c r="R41" s="43">
        <f t="shared" si="23"/>
        <v>1</v>
      </c>
      <c r="S41" s="43">
        <f t="shared" si="23"/>
        <v>1</v>
      </c>
      <c r="T41" s="43">
        <f t="shared" si="23"/>
        <v>1</v>
      </c>
      <c r="U41" s="43">
        <f t="shared" si="23"/>
        <v>1</v>
      </c>
      <c r="V41" s="43">
        <f t="shared" si="23"/>
        <v>1</v>
      </c>
      <c r="W41" s="43">
        <f t="shared" si="23"/>
        <v>1</v>
      </c>
      <c r="X41" s="43">
        <f t="shared" si="23"/>
        <v>1</v>
      </c>
      <c r="Y41" s="43">
        <f t="shared" si="23"/>
        <v>1</v>
      </c>
      <c r="Z41" s="43">
        <f t="shared" si="23"/>
        <v>1</v>
      </c>
      <c r="AA41" s="43">
        <f t="shared" si="23"/>
        <v>1</v>
      </c>
      <c r="AB41" s="43">
        <f t="shared" si="24"/>
        <v>1</v>
      </c>
      <c r="AC41" s="43">
        <f t="shared" si="24"/>
        <v>1</v>
      </c>
      <c r="AD41" s="43">
        <f t="shared" si="24"/>
        <v>1</v>
      </c>
      <c r="AE41" s="43">
        <f t="shared" si="24"/>
        <v>1</v>
      </c>
      <c r="AF41" s="43">
        <f t="shared" si="24"/>
        <v>1</v>
      </c>
      <c r="AG41" s="43">
        <f t="shared" si="24"/>
        <v>1</v>
      </c>
      <c r="AH41" s="43">
        <f t="shared" si="24"/>
        <v>1</v>
      </c>
      <c r="AI41" s="43">
        <f t="shared" si="24"/>
        <v>1</v>
      </c>
      <c r="AJ41" s="43">
        <f t="shared" si="24"/>
        <v>1</v>
      </c>
      <c r="AK41" s="43">
        <f t="shared" si="24"/>
        <v>1</v>
      </c>
      <c r="AL41" s="43">
        <f t="shared" si="25"/>
        <v>1</v>
      </c>
      <c r="AM41" s="43">
        <f t="shared" si="25"/>
        <v>1</v>
      </c>
      <c r="AN41" s="43">
        <f t="shared" si="25"/>
        <v>1</v>
      </c>
      <c r="AO41" s="43">
        <f t="shared" si="25"/>
        <v>1</v>
      </c>
      <c r="AP41" s="43">
        <f t="shared" si="25"/>
        <v>1</v>
      </c>
      <c r="AQ41" s="43">
        <f t="shared" si="25"/>
        <v>1</v>
      </c>
      <c r="AR41" s="43">
        <f t="shared" si="25"/>
        <v>1</v>
      </c>
      <c r="AS41" s="43">
        <f t="shared" si="25"/>
        <v>1</v>
      </c>
      <c r="AT41" s="43">
        <f t="shared" si="25"/>
        <v>1</v>
      </c>
      <c r="AU41" s="43">
        <f t="shared" si="25"/>
        <v>1</v>
      </c>
      <c r="AV41" s="43">
        <f t="shared" si="26"/>
        <v>1</v>
      </c>
      <c r="AW41" s="43">
        <f t="shared" si="26"/>
        <v>1</v>
      </c>
      <c r="AX41" s="43">
        <f t="shared" si="26"/>
        <v>1</v>
      </c>
      <c r="AY41" s="43">
        <f t="shared" si="26"/>
        <v>1</v>
      </c>
      <c r="AZ41" s="43">
        <f t="shared" si="26"/>
        <v>1</v>
      </c>
      <c r="BA41" s="43">
        <f t="shared" si="26"/>
        <v>1</v>
      </c>
      <c r="BB41" s="43">
        <f t="shared" si="26"/>
        <v>1</v>
      </c>
      <c r="BC41" s="43">
        <f t="shared" si="26"/>
        <v>1</v>
      </c>
      <c r="BD41" s="43">
        <f t="shared" si="26"/>
        <v>1</v>
      </c>
      <c r="BE41" s="43">
        <f t="shared" si="26"/>
        <v>1</v>
      </c>
      <c r="BF41" s="43">
        <f t="shared" si="27"/>
        <v>1</v>
      </c>
      <c r="BG41" s="43">
        <f t="shared" si="27"/>
        <v>1</v>
      </c>
      <c r="BH41" s="43">
        <f t="shared" si="27"/>
        <v>1</v>
      </c>
      <c r="BI41" s="43">
        <f t="shared" si="27"/>
        <v>1</v>
      </c>
      <c r="BJ41" s="43">
        <f t="shared" si="27"/>
        <v>1</v>
      </c>
      <c r="BK41" s="43">
        <f t="shared" si="27"/>
        <v>1</v>
      </c>
      <c r="BL41" s="43">
        <f t="shared" si="27"/>
        <v>1</v>
      </c>
      <c r="BM41" s="43">
        <f t="shared" si="27"/>
        <v>1</v>
      </c>
      <c r="BN41" s="43">
        <f t="shared" si="27"/>
        <v>1</v>
      </c>
      <c r="BO41" s="43">
        <f t="shared" si="27"/>
        <v>1</v>
      </c>
      <c r="BP41" s="43">
        <f t="shared" si="28"/>
        <v>1</v>
      </c>
      <c r="BQ41" s="43">
        <f t="shared" si="28"/>
        <v>1</v>
      </c>
      <c r="BR41" s="43">
        <f t="shared" si="28"/>
        <v>0</v>
      </c>
      <c r="BS41" s="43">
        <f t="shared" si="28"/>
        <v>0</v>
      </c>
      <c r="BT41" s="43">
        <f t="shared" si="28"/>
        <v>0</v>
      </c>
      <c r="BU41" s="43">
        <f t="shared" si="28"/>
        <v>0</v>
      </c>
      <c r="BV41" s="43">
        <f t="shared" si="28"/>
        <v>0</v>
      </c>
      <c r="BW41" s="43">
        <f t="shared" si="28"/>
        <v>0</v>
      </c>
      <c r="BX41" s="43">
        <f t="shared" si="28"/>
        <v>0</v>
      </c>
      <c r="BY41" s="43">
        <f t="shared" si="28"/>
        <v>0</v>
      </c>
      <c r="BZ41" s="43">
        <f t="shared" si="28"/>
        <v>0</v>
      </c>
      <c r="CA41" s="43">
        <f t="shared" si="28"/>
        <v>0</v>
      </c>
    </row>
    <row r="42" spans="1:79" x14ac:dyDescent="0.25">
      <c r="A42" s="35">
        <v>25</v>
      </c>
      <c r="B42" s="8"/>
      <c r="C42" s="8"/>
      <c r="D42" s="8"/>
      <c r="E42" s="7"/>
      <c r="F42" s="49"/>
      <c r="G42" s="5"/>
      <c r="H42" s="10">
        <f t="shared" si="8"/>
        <v>0</v>
      </c>
      <c r="I42" s="49" t="e">
        <f>VLOOKUP(B42,База!$B$8:$I$52,3,FALSE)*60</f>
        <v>#N/A</v>
      </c>
      <c r="J42" s="35" t="e">
        <f>VLOOKUP(B42,База!$B$8:$I$52,7,FALSE)*I42</f>
        <v>#N/A</v>
      </c>
      <c r="K42" s="35" t="e">
        <f>VLOOKUP(B42,База!$B$8:$I$52,6,FALSE)</f>
        <v>#N/A</v>
      </c>
      <c r="L42" s="35" t="e">
        <f t="shared" si="0"/>
        <v>#N/A</v>
      </c>
      <c r="M42" s="9">
        <f t="shared" si="1"/>
        <v>0</v>
      </c>
      <c r="N42" s="53">
        <f t="shared" si="13"/>
        <v>612.23658315042314</v>
      </c>
      <c r="O42" s="53">
        <f t="shared" si="14"/>
        <v>612.23658315042314</v>
      </c>
      <c r="P42" s="53">
        <f t="shared" si="15"/>
        <v>0</v>
      </c>
      <c r="Q42" s="53">
        <f t="shared" si="16"/>
        <v>612.23658315042314</v>
      </c>
      <c r="R42" s="43">
        <f t="shared" ref="R42:AA51" si="29">IF($Q42&gt;R$10,IF($Q42-$P42&lt;=R$10,$L42,1),0)</f>
        <v>1</v>
      </c>
      <c r="S42" s="43">
        <f t="shared" si="29"/>
        <v>1</v>
      </c>
      <c r="T42" s="43">
        <f t="shared" si="29"/>
        <v>1</v>
      </c>
      <c r="U42" s="43">
        <f t="shared" si="29"/>
        <v>1</v>
      </c>
      <c r="V42" s="43">
        <f t="shared" si="29"/>
        <v>1</v>
      </c>
      <c r="W42" s="43">
        <f t="shared" si="29"/>
        <v>1</v>
      </c>
      <c r="X42" s="43">
        <f t="shared" si="29"/>
        <v>1</v>
      </c>
      <c r="Y42" s="43">
        <f t="shared" si="29"/>
        <v>1</v>
      </c>
      <c r="Z42" s="43">
        <f t="shared" si="29"/>
        <v>1</v>
      </c>
      <c r="AA42" s="43">
        <f t="shared" si="29"/>
        <v>1</v>
      </c>
      <c r="AB42" s="43">
        <f t="shared" ref="AB42:AK51" si="30">IF($Q42&gt;AB$10,IF($Q42-$P42&lt;=AB$10,$L42,1),0)</f>
        <v>1</v>
      </c>
      <c r="AC42" s="43">
        <f t="shared" si="30"/>
        <v>1</v>
      </c>
      <c r="AD42" s="43">
        <f t="shared" si="30"/>
        <v>1</v>
      </c>
      <c r="AE42" s="43">
        <f t="shared" si="30"/>
        <v>1</v>
      </c>
      <c r="AF42" s="43">
        <f t="shared" si="30"/>
        <v>1</v>
      </c>
      <c r="AG42" s="43">
        <f t="shared" si="30"/>
        <v>1</v>
      </c>
      <c r="AH42" s="43">
        <f t="shared" si="30"/>
        <v>1</v>
      </c>
      <c r="AI42" s="43">
        <f t="shared" si="30"/>
        <v>1</v>
      </c>
      <c r="AJ42" s="43">
        <f t="shared" si="30"/>
        <v>1</v>
      </c>
      <c r="AK42" s="43">
        <f t="shared" si="30"/>
        <v>1</v>
      </c>
      <c r="AL42" s="43">
        <f t="shared" ref="AL42:AU51" si="31">IF($Q42&gt;AL$10,IF($Q42-$P42&lt;=AL$10,$L42,1),0)</f>
        <v>1</v>
      </c>
      <c r="AM42" s="43">
        <f t="shared" si="31"/>
        <v>1</v>
      </c>
      <c r="AN42" s="43">
        <f t="shared" si="31"/>
        <v>1</v>
      </c>
      <c r="AO42" s="43">
        <f t="shared" si="31"/>
        <v>1</v>
      </c>
      <c r="AP42" s="43">
        <f t="shared" si="31"/>
        <v>1</v>
      </c>
      <c r="AQ42" s="43">
        <f t="shared" si="31"/>
        <v>1</v>
      </c>
      <c r="AR42" s="43">
        <f t="shared" si="31"/>
        <v>1</v>
      </c>
      <c r="AS42" s="43">
        <f t="shared" si="31"/>
        <v>1</v>
      </c>
      <c r="AT42" s="43">
        <f t="shared" si="31"/>
        <v>1</v>
      </c>
      <c r="AU42" s="43">
        <f t="shared" si="31"/>
        <v>1</v>
      </c>
      <c r="AV42" s="43">
        <f t="shared" ref="AV42:BE51" si="32">IF($Q42&gt;AV$10,IF($Q42-$P42&lt;=AV$10,$L42,1),0)</f>
        <v>1</v>
      </c>
      <c r="AW42" s="43">
        <f t="shared" si="32"/>
        <v>1</v>
      </c>
      <c r="AX42" s="43">
        <f t="shared" si="32"/>
        <v>1</v>
      </c>
      <c r="AY42" s="43">
        <f t="shared" si="32"/>
        <v>1</v>
      </c>
      <c r="AZ42" s="43">
        <f t="shared" si="32"/>
        <v>1</v>
      </c>
      <c r="BA42" s="43">
        <f t="shared" si="32"/>
        <v>1</v>
      </c>
      <c r="BB42" s="43">
        <f t="shared" si="32"/>
        <v>1</v>
      </c>
      <c r="BC42" s="43">
        <f t="shared" si="32"/>
        <v>1</v>
      </c>
      <c r="BD42" s="43">
        <f t="shared" si="32"/>
        <v>1</v>
      </c>
      <c r="BE42" s="43">
        <f t="shared" si="32"/>
        <v>1</v>
      </c>
      <c r="BF42" s="43">
        <f t="shared" ref="BF42:BO51" si="33">IF($Q42&gt;BF$10,IF($Q42-$P42&lt;=BF$10,$L42,1),0)</f>
        <v>1</v>
      </c>
      <c r="BG42" s="43">
        <f t="shared" si="33"/>
        <v>1</v>
      </c>
      <c r="BH42" s="43">
        <f t="shared" si="33"/>
        <v>1</v>
      </c>
      <c r="BI42" s="43">
        <f t="shared" si="33"/>
        <v>1</v>
      </c>
      <c r="BJ42" s="43">
        <f t="shared" si="33"/>
        <v>1</v>
      </c>
      <c r="BK42" s="43">
        <f t="shared" si="33"/>
        <v>1</v>
      </c>
      <c r="BL42" s="43">
        <f t="shared" si="33"/>
        <v>1</v>
      </c>
      <c r="BM42" s="43">
        <f t="shared" si="33"/>
        <v>1</v>
      </c>
      <c r="BN42" s="43">
        <f t="shared" si="33"/>
        <v>1</v>
      </c>
      <c r="BO42" s="43">
        <f t="shared" si="33"/>
        <v>1</v>
      </c>
      <c r="BP42" s="43">
        <f t="shared" ref="BP42:CA51" si="34">IF($Q42&gt;BP$10,IF($Q42-$P42&lt;=BP$10,$L42,1),0)</f>
        <v>1</v>
      </c>
      <c r="BQ42" s="43">
        <f t="shared" si="34"/>
        <v>1</v>
      </c>
      <c r="BR42" s="43">
        <f t="shared" si="34"/>
        <v>0</v>
      </c>
      <c r="BS42" s="43">
        <f t="shared" si="34"/>
        <v>0</v>
      </c>
      <c r="BT42" s="43">
        <f t="shared" si="34"/>
        <v>0</v>
      </c>
      <c r="BU42" s="43">
        <f t="shared" si="34"/>
        <v>0</v>
      </c>
      <c r="BV42" s="43">
        <f t="shared" si="34"/>
        <v>0</v>
      </c>
      <c r="BW42" s="43">
        <f t="shared" si="34"/>
        <v>0</v>
      </c>
      <c r="BX42" s="43">
        <f t="shared" si="34"/>
        <v>0</v>
      </c>
      <c r="BY42" s="43">
        <f t="shared" si="34"/>
        <v>0</v>
      </c>
      <c r="BZ42" s="43">
        <f t="shared" si="34"/>
        <v>0</v>
      </c>
      <c r="CA42" s="43">
        <f t="shared" si="34"/>
        <v>0</v>
      </c>
    </row>
    <row r="43" spans="1:79" x14ac:dyDescent="0.25">
      <c r="A43" s="35">
        <v>26</v>
      </c>
      <c r="B43" s="8"/>
      <c r="C43" s="8"/>
      <c r="D43" s="8"/>
      <c r="E43" s="7"/>
      <c r="F43" s="49"/>
      <c r="G43" s="5"/>
      <c r="H43" s="10">
        <f t="shared" si="8"/>
        <v>0</v>
      </c>
      <c r="I43" s="49" t="e">
        <f>VLOOKUP(B43,База!$B$8:$I$52,3,FALSE)*60</f>
        <v>#N/A</v>
      </c>
      <c r="J43" s="35" t="e">
        <f>VLOOKUP(B43,База!$B$8:$I$52,7,FALSE)*I43</f>
        <v>#N/A</v>
      </c>
      <c r="K43" s="35" t="e">
        <f>VLOOKUP(B43,База!$B$8:$I$52,6,FALSE)</f>
        <v>#N/A</v>
      </c>
      <c r="L43" s="35" t="e">
        <f t="shared" si="0"/>
        <v>#N/A</v>
      </c>
      <c r="M43" s="9">
        <f t="shared" si="1"/>
        <v>0</v>
      </c>
      <c r="N43" s="53">
        <f t="shared" si="13"/>
        <v>612.23658315042314</v>
      </c>
      <c r="O43" s="53">
        <f t="shared" si="14"/>
        <v>612.23658315042314</v>
      </c>
      <c r="P43" s="53">
        <f t="shared" si="15"/>
        <v>0</v>
      </c>
      <c r="Q43" s="53">
        <f t="shared" si="16"/>
        <v>612.23658315042314</v>
      </c>
      <c r="R43" s="43">
        <f t="shared" si="29"/>
        <v>1</v>
      </c>
      <c r="S43" s="43">
        <f t="shared" si="29"/>
        <v>1</v>
      </c>
      <c r="T43" s="43">
        <f t="shared" si="29"/>
        <v>1</v>
      </c>
      <c r="U43" s="43">
        <f t="shared" si="29"/>
        <v>1</v>
      </c>
      <c r="V43" s="43">
        <f t="shared" si="29"/>
        <v>1</v>
      </c>
      <c r="W43" s="43">
        <f t="shared" si="29"/>
        <v>1</v>
      </c>
      <c r="X43" s="43">
        <f t="shared" si="29"/>
        <v>1</v>
      </c>
      <c r="Y43" s="43">
        <f t="shared" si="29"/>
        <v>1</v>
      </c>
      <c r="Z43" s="43">
        <f t="shared" si="29"/>
        <v>1</v>
      </c>
      <c r="AA43" s="43">
        <f t="shared" si="29"/>
        <v>1</v>
      </c>
      <c r="AB43" s="43">
        <f t="shared" si="30"/>
        <v>1</v>
      </c>
      <c r="AC43" s="43">
        <f t="shared" si="30"/>
        <v>1</v>
      </c>
      <c r="AD43" s="43">
        <f t="shared" si="30"/>
        <v>1</v>
      </c>
      <c r="AE43" s="43">
        <f t="shared" si="30"/>
        <v>1</v>
      </c>
      <c r="AF43" s="43">
        <f t="shared" si="30"/>
        <v>1</v>
      </c>
      <c r="AG43" s="43">
        <f t="shared" si="30"/>
        <v>1</v>
      </c>
      <c r="AH43" s="43">
        <f t="shared" si="30"/>
        <v>1</v>
      </c>
      <c r="AI43" s="43">
        <f t="shared" si="30"/>
        <v>1</v>
      </c>
      <c r="AJ43" s="43">
        <f t="shared" si="30"/>
        <v>1</v>
      </c>
      <c r="AK43" s="43">
        <f t="shared" si="30"/>
        <v>1</v>
      </c>
      <c r="AL43" s="43">
        <f t="shared" si="31"/>
        <v>1</v>
      </c>
      <c r="AM43" s="43">
        <f t="shared" si="31"/>
        <v>1</v>
      </c>
      <c r="AN43" s="43">
        <f t="shared" si="31"/>
        <v>1</v>
      </c>
      <c r="AO43" s="43">
        <f t="shared" si="31"/>
        <v>1</v>
      </c>
      <c r="AP43" s="43">
        <f t="shared" si="31"/>
        <v>1</v>
      </c>
      <c r="AQ43" s="43">
        <f t="shared" si="31"/>
        <v>1</v>
      </c>
      <c r="AR43" s="43">
        <f t="shared" si="31"/>
        <v>1</v>
      </c>
      <c r="AS43" s="43">
        <f t="shared" si="31"/>
        <v>1</v>
      </c>
      <c r="AT43" s="43">
        <f t="shared" si="31"/>
        <v>1</v>
      </c>
      <c r="AU43" s="43">
        <f t="shared" si="31"/>
        <v>1</v>
      </c>
      <c r="AV43" s="43">
        <f t="shared" si="32"/>
        <v>1</v>
      </c>
      <c r="AW43" s="43">
        <f t="shared" si="32"/>
        <v>1</v>
      </c>
      <c r="AX43" s="43">
        <f t="shared" si="32"/>
        <v>1</v>
      </c>
      <c r="AY43" s="43">
        <f t="shared" si="32"/>
        <v>1</v>
      </c>
      <c r="AZ43" s="43">
        <f t="shared" si="32"/>
        <v>1</v>
      </c>
      <c r="BA43" s="43">
        <f t="shared" si="32"/>
        <v>1</v>
      </c>
      <c r="BB43" s="43">
        <f t="shared" si="32"/>
        <v>1</v>
      </c>
      <c r="BC43" s="43">
        <f t="shared" si="32"/>
        <v>1</v>
      </c>
      <c r="BD43" s="43">
        <f t="shared" si="32"/>
        <v>1</v>
      </c>
      <c r="BE43" s="43">
        <f t="shared" si="32"/>
        <v>1</v>
      </c>
      <c r="BF43" s="43">
        <f t="shared" si="33"/>
        <v>1</v>
      </c>
      <c r="BG43" s="43">
        <f t="shared" si="33"/>
        <v>1</v>
      </c>
      <c r="BH43" s="43">
        <f t="shared" si="33"/>
        <v>1</v>
      </c>
      <c r="BI43" s="43">
        <f t="shared" si="33"/>
        <v>1</v>
      </c>
      <c r="BJ43" s="43">
        <f t="shared" si="33"/>
        <v>1</v>
      </c>
      <c r="BK43" s="43">
        <f t="shared" si="33"/>
        <v>1</v>
      </c>
      <c r="BL43" s="43">
        <f t="shared" si="33"/>
        <v>1</v>
      </c>
      <c r="BM43" s="43">
        <f t="shared" si="33"/>
        <v>1</v>
      </c>
      <c r="BN43" s="43">
        <f t="shared" si="33"/>
        <v>1</v>
      </c>
      <c r="BO43" s="43">
        <f t="shared" si="33"/>
        <v>1</v>
      </c>
      <c r="BP43" s="43">
        <f t="shared" si="34"/>
        <v>1</v>
      </c>
      <c r="BQ43" s="43">
        <f t="shared" si="34"/>
        <v>1</v>
      </c>
      <c r="BR43" s="43">
        <f t="shared" si="34"/>
        <v>0</v>
      </c>
      <c r="BS43" s="43">
        <f t="shared" si="34"/>
        <v>0</v>
      </c>
      <c r="BT43" s="43">
        <f t="shared" si="34"/>
        <v>0</v>
      </c>
      <c r="BU43" s="43">
        <f t="shared" si="34"/>
        <v>0</v>
      </c>
      <c r="BV43" s="43">
        <f t="shared" si="34"/>
        <v>0</v>
      </c>
      <c r="BW43" s="43">
        <f t="shared" si="34"/>
        <v>0</v>
      </c>
      <c r="BX43" s="43">
        <f t="shared" si="34"/>
        <v>0</v>
      </c>
      <c r="BY43" s="43">
        <f t="shared" si="34"/>
        <v>0</v>
      </c>
      <c r="BZ43" s="43">
        <f t="shared" si="34"/>
        <v>0</v>
      </c>
      <c r="CA43" s="43">
        <f t="shared" si="34"/>
        <v>0</v>
      </c>
    </row>
    <row r="44" spans="1:79" x14ac:dyDescent="0.25">
      <c r="A44" s="35">
        <v>27</v>
      </c>
      <c r="B44" s="8"/>
      <c r="C44" s="8"/>
      <c r="D44" s="8"/>
      <c r="E44" s="7"/>
      <c r="F44" s="49"/>
      <c r="G44" s="5"/>
      <c r="H44" s="10">
        <f t="shared" si="8"/>
        <v>0</v>
      </c>
      <c r="I44" s="49" t="e">
        <f>VLOOKUP(B44,База!$B$8:$I$52,3,FALSE)*60</f>
        <v>#N/A</v>
      </c>
      <c r="J44" s="35" t="e">
        <f>VLOOKUP(B44,База!$B$8:$I$52,7,FALSE)*I44</f>
        <v>#N/A</v>
      </c>
      <c r="K44" s="35" t="e">
        <f>VLOOKUP(B44,База!$B$8:$I$52,6,FALSE)</f>
        <v>#N/A</v>
      </c>
      <c r="L44" s="35" t="e">
        <f t="shared" ref="L44:L75" si="35">I44*12</f>
        <v>#N/A</v>
      </c>
      <c r="M44" s="9">
        <f t="shared" ref="M44:M75" si="36">H44</f>
        <v>0</v>
      </c>
      <c r="N44" s="53">
        <f t="shared" si="13"/>
        <v>612.23658315042314</v>
      </c>
      <c r="O44" s="53">
        <f t="shared" si="14"/>
        <v>612.23658315042314</v>
      </c>
      <c r="P44" s="53">
        <f t="shared" si="15"/>
        <v>0</v>
      </c>
      <c r="Q44" s="53">
        <f t="shared" si="16"/>
        <v>612.23658315042314</v>
      </c>
      <c r="R44" s="43">
        <f t="shared" si="29"/>
        <v>1</v>
      </c>
      <c r="S44" s="43">
        <f t="shared" si="29"/>
        <v>1</v>
      </c>
      <c r="T44" s="43">
        <f t="shared" si="29"/>
        <v>1</v>
      </c>
      <c r="U44" s="43">
        <f t="shared" si="29"/>
        <v>1</v>
      </c>
      <c r="V44" s="43">
        <f t="shared" si="29"/>
        <v>1</v>
      </c>
      <c r="W44" s="43">
        <f t="shared" si="29"/>
        <v>1</v>
      </c>
      <c r="X44" s="43">
        <f t="shared" si="29"/>
        <v>1</v>
      </c>
      <c r="Y44" s="43">
        <f t="shared" si="29"/>
        <v>1</v>
      </c>
      <c r="Z44" s="43">
        <f t="shared" si="29"/>
        <v>1</v>
      </c>
      <c r="AA44" s="43">
        <f t="shared" si="29"/>
        <v>1</v>
      </c>
      <c r="AB44" s="43">
        <f t="shared" si="30"/>
        <v>1</v>
      </c>
      <c r="AC44" s="43">
        <f t="shared" si="30"/>
        <v>1</v>
      </c>
      <c r="AD44" s="43">
        <f t="shared" si="30"/>
        <v>1</v>
      </c>
      <c r="AE44" s="43">
        <f t="shared" si="30"/>
        <v>1</v>
      </c>
      <c r="AF44" s="43">
        <f t="shared" si="30"/>
        <v>1</v>
      </c>
      <c r="AG44" s="43">
        <f t="shared" si="30"/>
        <v>1</v>
      </c>
      <c r="AH44" s="43">
        <f t="shared" si="30"/>
        <v>1</v>
      </c>
      <c r="AI44" s="43">
        <f t="shared" si="30"/>
        <v>1</v>
      </c>
      <c r="AJ44" s="43">
        <f t="shared" si="30"/>
        <v>1</v>
      </c>
      <c r="AK44" s="43">
        <f t="shared" si="30"/>
        <v>1</v>
      </c>
      <c r="AL44" s="43">
        <f t="shared" si="31"/>
        <v>1</v>
      </c>
      <c r="AM44" s="43">
        <f t="shared" si="31"/>
        <v>1</v>
      </c>
      <c r="AN44" s="43">
        <f t="shared" si="31"/>
        <v>1</v>
      </c>
      <c r="AO44" s="43">
        <f t="shared" si="31"/>
        <v>1</v>
      </c>
      <c r="AP44" s="43">
        <f t="shared" si="31"/>
        <v>1</v>
      </c>
      <c r="AQ44" s="43">
        <f t="shared" si="31"/>
        <v>1</v>
      </c>
      <c r="AR44" s="43">
        <f t="shared" si="31"/>
        <v>1</v>
      </c>
      <c r="AS44" s="43">
        <f t="shared" si="31"/>
        <v>1</v>
      </c>
      <c r="AT44" s="43">
        <f t="shared" si="31"/>
        <v>1</v>
      </c>
      <c r="AU44" s="43">
        <f t="shared" si="31"/>
        <v>1</v>
      </c>
      <c r="AV44" s="43">
        <f t="shared" si="32"/>
        <v>1</v>
      </c>
      <c r="AW44" s="43">
        <f t="shared" si="32"/>
        <v>1</v>
      </c>
      <c r="AX44" s="43">
        <f t="shared" si="32"/>
        <v>1</v>
      </c>
      <c r="AY44" s="43">
        <f t="shared" si="32"/>
        <v>1</v>
      </c>
      <c r="AZ44" s="43">
        <f t="shared" si="32"/>
        <v>1</v>
      </c>
      <c r="BA44" s="43">
        <f t="shared" si="32"/>
        <v>1</v>
      </c>
      <c r="BB44" s="43">
        <f t="shared" si="32"/>
        <v>1</v>
      </c>
      <c r="BC44" s="43">
        <f t="shared" si="32"/>
        <v>1</v>
      </c>
      <c r="BD44" s="43">
        <f t="shared" si="32"/>
        <v>1</v>
      </c>
      <c r="BE44" s="43">
        <f t="shared" si="32"/>
        <v>1</v>
      </c>
      <c r="BF44" s="43">
        <f t="shared" si="33"/>
        <v>1</v>
      </c>
      <c r="BG44" s="43">
        <f t="shared" si="33"/>
        <v>1</v>
      </c>
      <c r="BH44" s="43">
        <f t="shared" si="33"/>
        <v>1</v>
      </c>
      <c r="BI44" s="43">
        <f t="shared" si="33"/>
        <v>1</v>
      </c>
      <c r="BJ44" s="43">
        <f t="shared" si="33"/>
        <v>1</v>
      </c>
      <c r="BK44" s="43">
        <f t="shared" si="33"/>
        <v>1</v>
      </c>
      <c r="BL44" s="43">
        <f t="shared" si="33"/>
        <v>1</v>
      </c>
      <c r="BM44" s="43">
        <f t="shared" si="33"/>
        <v>1</v>
      </c>
      <c r="BN44" s="43">
        <f t="shared" si="33"/>
        <v>1</v>
      </c>
      <c r="BO44" s="43">
        <f t="shared" si="33"/>
        <v>1</v>
      </c>
      <c r="BP44" s="43">
        <f t="shared" si="34"/>
        <v>1</v>
      </c>
      <c r="BQ44" s="43">
        <f t="shared" si="34"/>
        <v>1</v>
      </c>
      <c r="BR44" s="43">
        <f t="shared" si="34"/>
        <v>0</v>
      </c>
      <c r="BS44" s="43">
        <f t="shared" si="34"/>
        <v>0</v>
      </c>
      <c r="BT44" s="43">
        <f t="shared" si="34"/>
        <v>0</v>
      </c>
      <c r="BU44" s="43">
        <f t="shared" si="34"/>
        <v>0</v>
      </c>
      <c r="BV44" s="43">
        <f t="shared" si="34"/>
        <v>0</v>
      </c>
      <c r="BW44" s="43">
        <f t="shared" si="34"/>
        <v>0</v>
      </c>
      <c r="BX44" s="43">
        <f t="shared" si="34"/>
        <v>0</v>
      </c>
      <c r="BY44" s="43">
        <f t="shared" si="34"/>
        <v>0</v>
      </c>
      <c r="BZ44" s="43">
        <f t="shared" si="34"/>
        <v>0</v>
      </c>
      <c r="CA44" s="43">
        <f t="shared" si="34"/>
        <v>0</v>
      </c>
    </row>
    <row r="45" spans="1:79" x14ac:dyDescent="0.25">
      <c r="A45" s="35">
        <v>28</v>
      </c>
      <c r="B45" s="8"/>
      <c r="C45" s="8"/>
      <c r="D45" s="8"/>
      <c r="E45" s="7"/>
      <c r="F45" s="49"/>
      <c r="G45" s="5"/>
      <c r="H45" s="10">
        <f t="shared" si="8"/>
        <v>0</v>
      </c>
      <c r="I45" s="49" t="e">
        <f>VLOOKUP(B45,База!$B$8:$I$52,3,FALSE)*60</f>
        <v>#N/A</v>
      </c>
      <c r="J45" s="35" t="e">
        <f>VLOOKUP(B45,База!$B$8:$I$52,7,FALSE)*I45</f>
        <v>#N/A</v>
      </c>
      <c r="K45" s="35" t="e">
        <f>VLOOKUP(B45,База!$B$8:$I$52,6,FALSE)</f>
        <v>#N/A</v>
      </c>
      <c r="L45" s="35" t="e">
        <f t="shared" si="35"/>
        <v>#N/A</v>
      </c>
      <c r="M45" s="9">
        <f t="shared" si="36"/>
        <v>0</v>
      </c>
      <c r="N45" s="53">
        <f t="shared" si="13"/>
        <v>612.23658315042314</v>
      </c>
      <c r="O45" s="53">
        <f t="shared" si="14"/>
        <v>612.23658315042314</v>
      </c>
      <c r="P45" s="53">
        <f t="shared" si="15"/>
        <v>0</v>
      </c>
      <c r="Q45" s="53">
        <f t="shared" si="16"/>
        <v>612.23658315042314</v>
      </c>
      <c r="R45" s="43">
        <f t="shared" si="29"/>
        <v>1</v>
      </c>
      <c r="S45" s="43">
        <f t="shared" si="29"/>
        <v>1</v>
      </c>
      <c r="T45" s="43">
        <f t="shared" si="29"/>
        <v>1</v>
      </c>
      <c r="U45" s="43">
        <f t="shared" si="29"/>
        <v>1</v>
      </c>
      <c r="V45" s="43">
        <f t="shared" si="29"/>
        <v>1</v>
      </c>
      <c r="W45" s="43">
        <f t="shared" si="29"/>
        <v>1</v>
      </c>
      <c r="X45" s="43">
        <f t="shared" si="29"/>
        <v>1</v>
      </c>
      <c r="Y45" s="43">
        <f t="shared" si="29"/>
        <v>1</v>
      </c>
      <c r="Z45" s="43">
        <f t="shared" si="29"/>
        <v>1</v>
      </c>
      <c r="AA45" s="43">
        <f t="shared" si="29"/>
        <v>1</v>
      </c>
      <c r="AB45" s="43">
        <f t="shared" si="30"/>
        <v>1</v>
      </c>
      <c r="AC45" s="43">
        <f t="shared" si="30"/>
        <v>1</v>
      </c>
      <c r="AD45" s="43">
        <f t="shared" si="30"/>
        <v>1</v>
      </c>
      <c r="AE45" s="43">
        <f t="shared" si="30"/>
        <v>1</v>
      </c>
      <c r="AF45" s="43">
        <f t="shared" si="30"/>
        <v>1</v>
      </c>
      <c r="AG45" s="43">
        <f t="shared" si="30"/>
        <v>1</v>
      </c>
      <c r="AH45" s="43">
        <f t="shared" si="30"/>
        <v>1</v>
      </c>
      <c r="AI45" s="43">
        <f t="shared" si="30"/>
        <v>1</v>
      </c>
      <c r="AJ45" s="43">
        <f t="shared" si="30"/>
        <v>1</v>
      </c>
      <c r="AK45" s="43">
        <f t="shared" si="30"/>
        <v>1</v>
      </c>
      <c r="AL45" s="43">
        <f t="shared" si="31"/>
        <v>1</v>
      </c>
      <c r="AM45" s="43">
        <f t="shared" si="31"/>
        <v>1</v>
      </c>
      <c r="AN45" s="43">
        <f t="shared" si="31"/>
        <v>1</v>
      </c>
      <c r="AO45" s="43">
        <f t="shared" si="31"/>
        <v>1</v>
      </c>
      <c r="AP45" s="43">
        <f t="shared" si="31"/>
        <v>1</v>
      </c>
      <c r="AQ45" s="43">
        <f t="shared" si="31"/>
        <v>1</v>
      </c>
      <c r="AR45" s="43">
        <f t="shared" si="31"/>
        <v>1</v>
      </c>
      <c r="AS45" s="43">
        <f t="shared" si="31"/>
        <v>1</v>
      </c>
      <c r="AT45" s="43">
        <f t="shared" si="31"/>
        <v>1</v>
      </c>
      <c r="AU45" s="43">
        <f t="shared" si="31"/>
        <v>1</v>
      </c>
      <c r="AV45" s="43">
        <f t="shared" si="32"/>
        <v>1</v>
      </c>
      <c r="AW45" s="43">
        <f t="shared" si="32"/>
        <v>1</v>
      </c>
      <c r="AX45" s="43">
        <f t="shared" si="32"/>
        <v>1</v>
      </c>
      <c r="AY45" s="43">
        <f t="shared" si="32"/>
        <v>1</v>
      </c>
      <c r="AZ45" s="43">
        <f t="shared" si="32"/>
        <v>1</v>
      </c>
      <c r="BA45" s="43">
        <f t="shared" si="32"/>
        <v>1</v>
      </c>
      <c r="BB45" s="43">
        <f t="shared" si="32"/>
        <v>1</v>
      </c>
      <c r="BC45" s="43">
        <f t="shared" si="32"/>
        <v>1</v>
      </c>
      <c r="BD45" s="43">
        <f t="shared" si="32"/>
        <v>1</v>
      </c>
      <c r="BE45" s="43">
        <f t="shared" si="32"/>
        <v>1</v>
      </c>
      <c r="BF45" s="43">
        <f t="shared" si="33"/>
        <v>1</v>
      </c>
      <c r="BG45" s="43">
        <f t="shared" si="33"/>
        <v>1</v>
      </c>
      <c r="BH45" s="43">
        <f t="shared" si="33"/>
        <v>1</v>
      </c>
      <c r="BI45" s="43">
        <f t="shared" si="33"/>
        <v>1</v>
      </c>
      <c r="BJ45" s="43">
        <f t="shared" si="33"/>
        <v>1</v>
      </c>
      <c r="BK45" s="43">
        <f t="shared" si="33"/>
        <v>1</v>
      </c>
      <c r="BL45" s="43">
        <f t="shared" si="33"/>
        <v>1</v>
      </c>
      <c r="BM45" s="43">
        <f t="shared" si="33"/>
        <v>1</v>
      </c>
      <c r="BN45" s="43">
        <f t="shared" si="33"/>
        <v>1</v>
      </c>
      <c r="BO45" s="43">
        <f t="shared" si="33"/>
        <v>1</v>
      </c>
      <c r="BP45" s="43">
        <f t="shared" si="34"/>
        <v>1</v>
      </c>
      <c r="BQ45" s="43">
        <f t="shared" si="34"/>
        <v>1</v>
      </c>
      <c r="BR45" s="43">
        <f t="shared" si="34"/>
        <v>0</v>
      </c>
      <c r="BS45" s="43">
        <f t="shared" si="34"/>
        <v>0</v>
      </c>
      <c r="BT45" s="43">
        <f t="shared" si="34"/>
        <v>0</v>
      </c>
      <c r="BU45" s="43">
        <f t="shared" si="34"/>
        <v>0</v>
      </c>
      <c r="BV45" s="43">
        <f t="shared" si="34"/>
        <v>0</v>
      </c>
      <c r="BW45" s="43">
        <f t="shared" si="34"/>
        <v>0</v>
      </c>
      <c r="BX45" s="43">
        <f t="shared" si="34"/>
        <v>0</v>
      </c>
      <c r="BY45" s="43">
        <f t="shared" si="34"/>
        <v>0</v>
      </c>
      <c r="BZ45" s="43">
        <f t="shared" si="34"/>
        <v>0</v>
      </c>
      <c r="CA45" s="43">
        <f t="shared" si="34"/>
        <v>0</v>
      </c>
    </row>
    <row r="46" spans="1:79" x14ac:dyDescent="0.25">
      <c r="A46" s="35">
        <v>29</v>
      </c>
      <c r="B46" s="8"/>
      <c r="C46" s="8"/>
      <c r="D46" s="8"/>
      <c r="E46" s="7"/>
      <c r="F46" s="49"/>
      <c r="G46" s="5"/>
      <c r="H46" s="10">
        <f t="shared" si="8"/>
        <v>0</v>
      </c>
      <c r="I46" s="49" t="e">
        <f>VLOOKUP(B46,База!$B$8:$I$52,3,FALSE)*60</f>
        <v>#N/A</v>
      </c>
      <c r="J46" s="35" t="e">
        <f>VLOOKUP(B46,База!$B$8:$I$52,7,FALSE)*I46</f>
        <v>#N/A</v>
      </c>
      <c r="K46" s="35" t="e">
        <f>VLOOKUP(B46,База!$B$8:$I$52,6,FALSE)</f>
        <v>#N/A</v>
      </c>
      <c r="L46" s="35" t="e">
        <f t="shared" si="35"/>
        <v>#N/A</v>
      </c>
      <c r="M46" s="9">
        <f t="shared" si="36"/>
        <v>0</v>
      </c>
      <c r="N46" s="53">
        <f t="shared" si="13"/>
        <v>612.23658315042314</v>
      </c>
      <c r="O46" s="53">
        <f t="shared" si="14"/>
        <v>612.23658315042314</v>
      </c>
      <c r="P46" s="53">
        <f t="shared" si="15"/>
        <v>0</v>
      </c>
      <c r="Q46" s="53">
        <f t="shared" si="16"/>
        <v>612.23658315042314</v>
      </c>
      <c r="R46" s="43">
        <f t="shared" si="29"/>
        <v>1</v>
      </c>
      <c r="S46" s="43">
        <f t="shared" si="29"/>
        <v>1</v>
      </c>
      <c r="T46" s="43">
        <f t="shared" si="29"/>
        <v>1</v>
      </c>
      <c r="U46" s="43">
        <f t="shared" si="29"/>
        <v>1</v>
      </c>
      <c r="V46" s="43">
        <f t="shared" si="29"/>
        <v>1</v>
      </c>
      <c r="W46" s="43">
        <f t="shared" si="29"/>
        <v>1</v>
      </c>
      <c r="X46" s="43">
        <f t="shared" si="29"/>
        <v>1</v>
      </c>
      <c r="Y46" s="43">
        <f t="shared" si="29"/>
        <v>1</v>
      </c>
      <c r="Z46" s="43">
        <f t="shared" si="29"/>
        <v>1</v>
      </c>
      <c r="AA46" s="43">
        <f t="shared" si="29"/>
        <v>1</v>
      </c>
      <c r="AB46" s="43">
        <f t="shared" si="30"/>
        <v>1</v>
      </c>
      <c r="AC46" s="43">
        <f t="shared" si="30"/>
        <v>1</v>
      </c>
      <c r="AD46" s="43">
        <f t="shared" si="30"/>
        <v>1</v>
      </c>
      <c r="AE46" s="43">
        <f t="shared" si="30"/>
        <v>1</v>
      </c>
      <c r="AF46" s="43">
        <f t="shared" si="30"/>
        <v>1</v>
      </c>
      <c r="AG46" s="43">
        <f t="shared" si="30"/>
        <v>1</v>
      </c>
      <c r="AH46" s="43">
        <f t="shared" si="30"/>
        <v>1</v>
      </c>
      <c r="AI46" s="43">
        <f t="shared" si="30"/>
        <v>1</v>
      </c>
      <c r="AJ46" s="43">
        <f t="shared" si="30"/>
        <v>1</v>
      </c>
      <c r="AK46" s="43">
        <f t="shared" si="30"/>
        <v>1</v>
      </c>
      <c r="AL46" s="43">
        <f t="shared" si="31"/>
        <v>1</v>
      </c>
      <c r="AM46" s="43">
        <f t="shared" si="31"/>
        <v>1</v>
      </c>
      <c r="AN46" s="43">
        <f t="shared" si="31"/>
        <v>1</v>
      </c>
      <c r="AO46" s="43">
        <f t="shared" si="31"/>
        <v>1</v>
      </c>
      <c r="AP46" s="43">
        <f t="shared" si="31"/>
        <v>1</v>
      </c>
      <c r="AQ46" s="43">
        <f t="shared" si="31"/>
        <v>1</v>
      </c>
      <c r="AR46" s="43">
        <f t="shared" si="31"/>
        <v>1</v>
      </c>
      <c r="AS46" s="43">
        <f t="shared" si="31"/>
        <v>1</v>
      </c>
      <c r="AT46" s="43">
        <f t="shared" si="31"/>
        <v>1</v>
      </c>
      <c r="AU46" s="43">
        <f t="shared" si="31"/>
        <v>1</v>
      </c>
      <c r="AV46" s="43">
        <f t="shared" si="32"/>
        <v>1</v>
      </c>
      <c r="AW46" s="43">
        <f t="shared" si="32"/>
        <v>1</v>
      </c>
      <c r="AX46" s="43">
        <f t="shared" si="32"/>
        <v>1</v>
      </c>
      <c r="AY46" s="43">
        <f t="shared" si="32"/>
        <v>1</v>
      </c>
      <c r="AZ46" s="43">
        <f t="shared" si="32"/>
        <v>1</v>
      </c>
      <c r="BA46" s="43">
        <f t="shared" si="32"/>
        <v>1</v>
      </c>
      <c r="BB46" s="43">
        <f t="shared" si="32"/>
        <v>1</v>
      </c>
      <c r="BC46" s="43">
        <f t="shared" si="32"/>
        <v>1</v>
      </c>
      <c r="BD46" s="43">
        <f t="shared" si="32"/>
        <v>1</v>
      </c>
      <c r="BE46" s="43">
        <f t="shared" si="32"/>
        <v>1</v>
      </c>
      <c r="BF46" s="43">
        <f t="shared" si="33"/>
        <v>1</v>
      </c>
      <c r="BG46" s="43">
        <f t="shared" si="33"/>
        <v>1</v>
      </c>
      <c r="BH46" s="43">
        <f t="shared" si="33"/>
        <v>1</v>
      </c>
      <c r="BI46" s="43">
        <f t="shared" si="33"/>
        <v>1</v>
      </c>
      <c r="BJ46" s="43">
        <f t="shared" si="33"/>
        <v>1</v>
      </c>
      <c r="BK46" s="43">
        <f t="shared" si="33"/>
        <v>1</v>
      </c>
      <c r="BL46" s="43">
        <f t="shared" si="33"/>
        <v>1</v>
      </c>
      <c r="BM46" s="43">
        <f t="shared" si="33"/>
        <v>1</v>
      </c>
      <c r="BN46" s="43">
        <f t="shared" si="33"/>
        <v>1</v>
      </c>
      <c r="BO46" s="43">
        <f t="shared" si="33"/>
        <v>1</v>
      </c>
      <c r="BP46" s="43">
        <f t="shared" si="34"/>
        <v>1</v>
      </c>
      <c r="BQ46" s="43">
        <f t="shared" si="34"/>
        <v>1</v>
      </c>
      <c r="BR46" s="43">
        <f t="shared" si="34"/>
        <v>0</v>
      </c>
      <c r="BS46" s="43">
        <f t="shared" si="34"/>
        <v>0</v>
      </c>
      <c r="BT46" s="43">
        <f t="shared" si="34"/>
        <v>0</v>
      </c>
      <c r="BU46" s="43">
        <f t="shared" si="34"/>
        <v>0</v>
      </c>
      <c r="BV46" s="43">
        <f t="shared" si="34"/>
        <v>0</v>
      </c>
      <c r="BW46" s="43">
        <f t="shared" si="34"/>
        <v>0</v>
      </c>
      <c r="BX46" s="43">
        <f t="shared" si="34"/>
        <v>0</v>
      </c>
      <c r="BY46" s="43">
        <f t="shared" si="34"/>
        <v>0</v>
      </c>
      <c r="BZ46" s="43">
        <f t="shared" si="34"/>
        <v>0</v>
      </c>
      <c r="CA46" s="43">
        <f t="shared" si="34"/>
        <v>0</v>
      </c>
    </row>
    <row r="47" spans="1:79" x14ac:dyDescent="0.25">
      <c r="A47" s="35">
        <v>30</v>
      </c>
      <c r="B47" s="8"/>
      <c r="C47" s="8"/>
      <c r="D47" s="8"/>
      <c r="E47" s="7"/>
      <c r="F47" s="49"/>
      <c r="G47" s="5"/>
      <c r="H47" s="10">
        <f t="shared" si="8"/>
        <v>0</v>
      </c>
      <c r="I47" s="49" t="e">
        <f>VLOOKUP(B47,База!$B$8:$I$52,3,FALSE)*60</f>
        <v>#N/A</v>
      </c>
      <c r="J47" s="35" t="e">
        <f>VLOOKUP(B47,База!$B$8:$I$52,7,FALSE)*I47</f>
        <v>#N/A</v>
      </c>
      <c r="K47" s="35" t="e">
        <f>VLOOKUP(B47,База!$B$8:$I$52,6,FALSE)</f>
        <v>#N/A</v>
      </c>
      <c r="L47" s="35" t="e">
        <f t="shared" si="35"/>
        <v>#N/A</v>
      </c>
      <c r="M47" s="9">
        <f t="shared" si="36"/>
        <v>0</v>
      </c>
      <c r="N47" s="53">
        <f t="shared" si="13"/>
        <v>612.23658315042314</v>
      </c>
      <c r="O47" s="53">
        <f t="shared" si="14"/>
        <v>612.23658315042314</v>
      </c>
      <c r="P47" s="53">
        <f t="shared" si="15"/>
        <v>0</v>
      </c>
      <c r="Q47" s="53">
        <f t="shared" si="16"/>
        <v>612.23658315042314</v>
      </c>
      <c r="R47" s="43">
        <f t="shared" si="29"/>
        <v>1</v>
      </c>
      <c r="S47" s="43">
        <f t="shared" si="29"/>
        <v>1</v>
      </c>
      <c r="T47" s="43">
        <f t="shared" si="29"/>
        <v>1</v>
      </c>
      <c r="U47" s="43">
        <f t="shared" si="29"/>
        <v>1</v>
      </c>
      <c r="V47" s="43">
        <f t="shared" si="29"/>
        <v>1</v>
      </c>
      <c r="W47" s="43">
        <f t="shared" si="29"/>
        <v>1</v>
      </c>
      <c r="X47" s="43">
        <f t="shared" si="29"/>
        <v>1</v>
      </c>
      <c r="Y47" s="43">
        <f t="shared" si="29"/>
        <v>1</v>
      </c>
      <c r="Z47" s="43">
        <f t="shared" si="29"/>
        <v>1</v>
      </c>
      <c r="AA47" s="43">
        <f t="shared" si="29"/>
        <v>1</v>
      </c>
      <c r="AB47" s="43">
        <f t="shared" si="30"/>
        <v>1</v>
      </c>
      <c r="AC47" s="43">
        <f t="shared" si="30"/>
        <v>1</v>
      </c>
      <c r="AD47" s="43">
        <f t="shared" si="30"/>
        <v>1</v>
      </c>
      <c r="AE47" s="43">
        <f t="shared" si="30"/>
        <v>1</v>
      </c>
      <c r="AF47" s="43">
        <f t="shared" si="30"/>
        <v>1</v>
      </c>
      <c r="AG47" s="43">
        <f t="shared" si="30"/>
        <v>1</v>
      </c>
      <c r="AH47" s="43">
        <f t="shared" si="30"/>
        <v>1</v>
      </c>
      <c r="AI47" s="43">
        <f t="shared" si="30"/>
        <v>1</v>
      </c>
      <c r="AJ47" s="43">
        <f t="shared" si="30"/>
        <v>1</v>
      </c>
      <c r="AK47" s="43">
        <f t="shared" si="30"/>
        <v>1</v>
      </c>
      <c r="AL47" s="43">
        <f t="shared" si="31"/>
        <v>1</v>
      </c>
      <c r="AM47" s="43">
        <f t="shared" si="31"/>
        <v>1</v>
      </c>
      <c r="AN47" s="43">
        <f t="shared" si="31"/>
        <v>1</v>
      </c>
      <c r="AO47" s="43">
        <f t="shared" si="31"/>
        <v>1</v>
      </c>
      <c r="AP47" s="43">
        <f t="shared" si="31"/>
        <v>1</v>
      </c>
      <c r="AQ47" s="43">
        <f t="shared" si="31"/>
        <v>1</v>
      </c>
      <c r="AR47" s="43">
        <f t="shared" si="31"/>
        <v>1</v>
      </c>
      <c r="AS47" s="43">
        <f t="shared" si="31"/>
        <v>1</v>
      </c>
      <c r="AT47" s="43">
        <f t="shared" si="31"/>
        <v>1</v>
      </c>
      <c r="AU47" s="43">
        <f t="shared" si="31"/>
        <v>1</v>
      </c>
      <c r="AV47" s="43">
        <f t="shared" si="32"/>
        <v>1</v>
      </c>
      <c r="AW47" s="43">
        <f t="shared" si="32"/>
        <v>1</v>
      </c>
      <c r="AX47" s="43">
        <f t="shared" si="32"/>
        <v>1</v>
      </c>
      <c r="AY47" s="43">
        <f t="shared" si="32"/>
        <v>1</v>
      </c>
      <c r="AZ47" s="43">
        <f t="shared" si="32"/>
        <v>1</v>
      </c>
      <c r="BA47" s="43">
        <f t="shared" si="32"/>
        <v>1</v>
      </c>
      <c r="BB47" s="43">
        <f t="shared" si="32"/>
        <v>1</v>
      </c>
      <c r="BC47" s="43">
        <f t="shared" si="32"/>
        <v>1</v>
      </c>
      <c r="BD47" s="43">
        <f t="shared" si="32"/>
        <v>1</v>
      </c>
      <c r="BE47" s="43">
        <f t="shared" si="32"/>
        <v>1</v>
      </c>
      <c r="BF47" s="43">
        <f t="shared" si="33"/>
        <v>1</v>
      </c>
      <c r="BG47" s="43">
        <f t="shared" si="33"/>
        <v>1</v>
      </c>
      <c r="BH47" s="43">
        <f t="shared" si="33"/>
        <v>1</v>
      </c>
      <c r="BI47" s="43">
        <f t="shared" si="33"/>
        <v>1</v>
      </c>
      <c r="BJ47" s="43">
        <f t="shared" si="33"/>
        <v>1</v>
      </c>
      <c r="BK47" s="43">
        <f t="shared" si="33"/>
        <v>1</v>
      </c>
      <c r="BL47" s="43">
        <f t="shared" si="33"/>
        <v>1</v>
      </c>
      <c r="BM47" s="43">
        <f t="shared" si="33"/>
        <v>1</v>
      </c>
      <c r="BN47" s="43">
        <f t="shared" si="33"/>
        <v>1</v>
      </c>
      <c r="BO47" s="43">
        <f t="shared" si="33"/>
        <v>1</v>
      </c>
      <c r="BP47" s="43">
        <f t="shared" si="34"/>
        <v>1</v>
      </c>
      <c r="BQ47" s="43">
        <f t="shared" si="34"/>
        <v>1</v>
      </c>
      <c r="BR47" s="43">
        <f t="shared" si="34"/>
        <v>0</v>
      </c>
      <c r="BS47" s="43">
        <f t="shared" si="34"/>
        <v>0</v>
      </c>
      <c r="BT47" s="43">
        <f t="shared" si="34"/>
        <v>0</v>
      </c>
      <c r="BU47" s="43">
        <f t="shared" si="34"/>
        <v>0</v>
      </c>
      <c r="BV47" s="43">
        <f t="shared" si="34"/>
        <v>0</v>
      </c>
      <c r="BW47" s="43">
        <f t="shared" si="34"/>
        <v>0</v>
      </c>
      <c r="BX47" s="43">
        <f t="shared" si="34"/>
        <v>0</v>
      </c>
      <c r="BY47" s="43">
        <f t="shared" si="34"/>
        <v>0</v>
      </c>
      <c r="BZ47" s="43">
        <f t="shared" si="34"/>
        <v>0</v>
      </c>
      <c r="CA47" s="43">
        <f t="shared" si="34"/>
        <v>0</v>
      </c>
    </row>
    <row r="48" spans="1:79" x14ac:dyDescent="0.25">
      <c r="A48" s="35">
        <v>31</v>
      </c>
      <c r="B48" s="8"/>
      <c r="C48" s="8"/>
      <c r="D48" s="8"/>
      <c r="E48" s="7"/>
      <c r="F48" s="49"/>
      <c r="G48" s="5"/>
      <c r="H48" s="10">
        <f t="shared" si="8"/>
        <v>0</v>
      </c>
      <c r="I48" s="49" t="e">
        <f>VLOOKUP(B48,База!$B$8:$I$52,3,FALSE)*60</f>
        <v>#N/A</v>
      </c>
      <c r="J48" s="35" t="e">
        <f>VLOOKUP(B48,База!$B$8:$I$52,7,FALSE)*I48</f>
        <v>#N/A</v>
      </c>
      <c r="K48" s="35" t="e">
        <f>VLOOKUP(B48,База!$B$8:$I$52,6,FALSE)</f>
        <v>#N/A</v>
      </c>
      <c r="L48" s="35" t="e">
        <f t="shared" si="35"/>
        <v>#N/A</v>
      </c>
      <c r="M48" s="9">
        <f t="shared" si="36"/>
        <v>0</v>
      </c>
      <c r="N48" s="53">
        <f t="shared" si="13"/>
        <v>612.23658315042314</v>
      </c>
      <c r="O48" s="53">
        <f t="shared" si="14"/>
        <v>612.23658315042314</v>
      </c>
      <c r="P48" s="53">
        <f t="shared" si="15"/>
        <v>0</v>
      </c>
      <c r="Q48" s="53">
        <f t="shared" si="16"/>
        <v>612.23658315042314</v>
      </c>
      <c r="R48" s="43">
        <f t="shared" si="29"/>
        <v>1</v>
      </c>
      <c r="S48" s="43">
        <f t="shared" si="29"/>
        <v>1</v>
      </c>
      <c r="T48" s="43">
        <f t="shared" si="29"/>
        <v>1</v>
      </c>
      <c r="U48" s="43">
        <f t="shared" si="29"/>
        <v>1</v>
      </c>
      <c r="V48" s="43">
        <f t="shared" si="29"/>
        <v>1</v>
      </c>
      <c r="W48" s="43">
        <f t="shared" si="29"/>
        <v>1</v>
      </c>
      <c r="X48" s="43">
        <f t="shared" si="29"/>
        <v>1</v>
      </c>
      <c r="Y48" s="43">
        <f t="shared" si="29"/>
        <v>1</v>
      </c>
      <c r="Z48" s="43">
        <f t="shared" si="29"/>
        <v>1</v>
      </c>
      <c r="AA48" s="43">
        <f t="shared" si="29"/>
        <v>1</v>
      </c>
      <c r="AB48" s="43">
        <f t="shared" si="30"/>
        <v>1</v>
      </c>
      <c r="AC48" s="43">
        <f t="shared" si="30"/>
        <v>1</v>
      </c>
      <c r="AD48" s="43">
        <f t="shared" si="30"/>
        <v>1</v>
      </c>
      <c r="AE48" s="43">
        <f t="shared" si="30"/>
        <v>1</v>
      </c>
      <c r="AF48" s="43">
        <f t="shared" si="30"/>
        <v>1</v>
      </c>
      <c r="AG48" s="43">
        <f t="shared" si="30"/>
        <v>1</v>
      </c>
      <c r="AH48" s="43">
        <f t="shared" si="30"/>
        <v>1</v>
      </c>
      <c r="AI48" s="43">
        <f t="shared" si="30"/>
        <v>1</v>
      </c>
      <c r="AJ48" s="43">
        <f t="shared" si="30"/>
        <v>1</v>
      </c>
      <c r="AK48" s="43">
        <f t="shared" si="30"/>
        <v>1</v>
      </c>
      <c r="AL48" s="43">
        <f t="shared" si="31"/>
        <v>1</v>
      </c>
      <c r="AM48" s="43">
        <f t="shared" si="31"/>
        <v>1</v>
      </c>
      <c r="AN48" s="43">
        <f t="shared" si="31"/>
        <v>1</v>
      </c>
      <c r="AO48" s="43">
        <f t="shared" si="31"/>
        <v>1</v>
      </c>
      <c r="AP48" s="43">
        <f t="shared" si="31"/>
        <v>1</v>
      </c>
      <c r="AQ48" s="43">
        <f t="shared" si="31"/>
        <v>1</v>
      </c>
      <c r="AR48" s="43">
        <f t="shared" si="31"/>
        <v>1</v>
      </c>
      <c r="AS48" s="43">
        <f t="shared" si="31"/>
        <v>1</v>
      </c>
      <c r="AT48" s="43">
        <f t="shared" si="31"/>
        <v>1</v>
      </c>
      <c r="AU48" s="43">
        <f t="shared" si="31"/>
        <v>1</v>
      </c>
      <c r="AV48" s="43">
        <f t="shared" si="32"/>
        <v>1</v>
      </c>
      <c r="AW48" s="43">
        <f t="shared" si="32"/>
        <v>1</v>
      </c>
      <c r="AX48" s="43">
        <f t="shared" si="32"/>
        <v>1</v>
      </c>
      <c r="AY48" s="43">
        <f t="shared" si="32"/>
        <v>1</v>
      </c>
      <c r="AZ48" s="43">
        <f t="shared" si="32"/>
        <v>1</v>
      </c>
      <c r="BA48" s="43">
        <f t="shared" si="32"/>
        <v>1</v>
      </c>
      <c r="BB48" s="43">
        <f t="shared" si="32"/>
        <v>1</v>
      </c>
      <c r="BC48" s="43">
        <f t="shared" si="32"/>
        <v>1</v>
      </c>
      <c r="BD48" s="43">
        <f t="shared" si="32"/>
        <v>1</v>
      </c>
      <c r="BE48" s="43">
        <f t="shared" si="32"/>
        <v>1</v>
      </c>
      <c r="BF48" s="43">
        <f t="shared" si="33"/>
        <v>1</v>
      </c>
      <c r="BG48" s="43">
        <f t="shared" si="33"/>
        <v>1</v>
      </c>
      <c r="BH48" s="43">
        <f t="shared" si="33"/>
        <v>1</v>
      </c>
      <c r="BI48" s="43">
        <f t="shared" si="33"/>
        <v>1</v>
      </c>
      <c r="BJ48" s="43">
        <f t="shared" si="33"/>
        <v>1</v>
      </c>
      <c r="BK48" s="43">
        <f t="shared" si="33"/>
        <v>1</v>
      </c>
      <c r="BL48" s="43">
        <f t="shared" si="33"/>
        <v>1</v>
      </c>
      <c r="BM48" s="43">
        <f t="shared" si="33"/>
        <v>1</v>
      </c>
      <c r="BN48" s="43">
        <f t="shared" si="33"/>
        <v>1</v>
      </c>
      <c r="BO48" s="43">
        <f t="shared" si="33"/>
        <v>1</v>
      </c>
      <c r="BP48" s="43">
        <f t="shared" si="34"/>
        <v>1</v>
      </c>
      <c r="BQ48" s="43">
        <f t="shared" si="34"/>
        <v>1</v>
      </c>
      <c r="BR48" s="43">
        <f t="shared" si="34"/>
        <v>0</v>
      </c>
      <c r="BS48" s="43">
        <f t="shared" si="34"/>
        <v>0</v>
      </c>
      <c r="BT48" s="43">
        <f t="shared" si="34"/>
        <v>0</v>
      </c>
      <c r="BU48" s="43">
        <f t="shared" si="34"/>
        <v>0</v>
      </c>
      <c r="BV48" s="43">
        <f t="shared" si="34"/>
        <v>0</v>
      </c>
      <c r="BW48" s="43">
        <f t="shared" si="34"/>
        <v>0</v>
      </c>
      <c r="BX48" s="43">
        <f t="shared" si="34"/>
        <v>0</v>
      </c>
      <c r="BY48" s="43">
        <f t="shared" si="34"/>
        <v>0</v>
      </c>
      <c r="BZ48" s="43">
        <f t="shared" si="34"/>
        <v>0</v>
      </c>
      <c r="CA48" s="43">
        <f t="shared" si="34"/>
        <v>0</v>
      </c>
    </row>
    <row r="49" spans="1:79" x14ac:dyDescent="0.25">
      <c r="A49" s="35">
        <v>32</v>
      </c>
      <c r="B49" s="8"/>
      <c r="C49" s="8"/>
      <c r="D49" s="8"/>
      <c r="E49" s="7"/>
      <c r="F49" s="49"/>
      <c r="G49" s="5"/>
      <c r="H49" s="10">
        <f t="shared" si="8"/>
        <v>0</v>
      </c>
      <c r="I49" s="49" t="e">
        <f>VLOOKUP(B49,База!$B$8:$I$52,3,FALSE)*60</f>
        <v>#N/A</v>
      </c>
      <c r="J49" s="35" t="e">
        <f>VLOOKUP(B49,База!$B$8:$I$52,7,FALSE)*I49</f>
        <v>#N/A</v>
      </c>
      <c r="K49" s="35" t="e">
        <f>VLOOKUP(B49,База!$B$8:$I$52,6,FALSE)</f>
        <v>#N/A</v>
      </c>
      <c r="L49" s="35" t="e">
        <f t="shared" si="35"/>
        <v>#N/A</v>
      </c>
      <c r="M49" s="9">
        <f t="shared" si="36"/>
        <v>0</v>
      </c>
      <c r="N49" s="53">
        <f t="shared" si="13"/>
        <v>612.23658315042314</v>
      </c>
      <c r="O49" s="53">
        <f t="shared" si="14"/>
        <v>612.23658315042314</v>
      </c>
      <c r="P49" s="53">
        <f t="shared" si="15"/>
        <v>0</v>
      </c>
      <c r="Q49" s="53">
        <f t="shared" si="16"/>
        <v>612.23658315042314</v>
      </c>
      <c r="R49" s="43">
        <f t="shared" si="29"/>
        <v>1</v>
      </c>
      <c r="S49" s="43">
        <f t="shared" si="29"/>
        <v>1</v>
      </c>
      <c r="T49" s="43">
        <f t="shared" si="29"/>
        <v>1</v>
      </c>
      <c r="U49" s="43">
        <f t="shared" si="29"/>
        <v>1</v>
      </c>
      <c r="V49" s="43">
        <f t="shared" si="29"/>
        <v>1</v>
      </c>
      <c r="W49" s="43">
        <f t="shared" si="29"/>
        <v>1</v>
      </c>
      <c r="X49" s="43">
        <f t="shared" si="29"/>
        <v>1</v>
      </c>
      <c r="Y49" s="43">
        <f t="shared" si="29"/>
        <v>1</v>
      </c>
      <c r="Z49" s="43">
        <f t="shared" si="29"/>
        <v>1</v>
      </c>
      <c r="AA49" s="43">
        <f t="shared" si="29"/>
        <v>1</v>
      </c>
      <c r="AB49" s="43">
        <f t="shared" si="30"/>
        <v>1</v>
      </c>
      <c r="AC49" s="43">
        <f t="shared" si="30"/>
        <v>1</v>
      </c>
      <c r="AD49" s="43">
        <f t="shared" si="30"/>
        <v>1</v>
      </c>
      <c r="AE49" s="43">
        <f t="shared" si="30"/>
        <v>1</v>
      </c>
      <c r="AF49" s="43">
        <f t="shared" si="30"/>
        <v>1</v>
      </c>
      <c r="AG49" s="43">
        <f t="shared" si="30"/>
        <v>1</v>
      </c>
      <c r="AH49" s="43">
        <f t="shared" si="30"/>
        <v>1</v>
      </c>
      <c r="AI49" s="43">
        <f t="shared" si="30"/>
        <v>1</v>
      </c>
      <c r="AJ49" s="43">
        <f t="shared" si="30"/>
        <v>1</v>
      </c>
      <c r="AK49" s="43">
        <f t="shared" si="30"/>
        <v>1</v>
      </c>
      <c r="AL49" s="43">
        <f t="shared" si="31"/>
        <v>1</v>
      </c>
      <c r="AM49" s="43">
        <f t="shared" si="31"/>
        <v>1</v>
      </c>
      <c r="AN49" s="43">
        <f t="shared" si="31"/>
        <v>1</v>
      </c>
      <c r="AO49" s="43">
        <f t="shared" si="31"/>
        <v>1</v>
      </c>
      <c r="AP49" s="43">
        <f t="shared" si="31"/>
        <v>1</v>
      </c>
      <c r="AQ49" s="43">
        <f t="shared" si="31"/>
        <v>1</v>
      </c>
      <c r="AR49" s="43">
        <f t="shared" si="31"/>
        <v>1</v>
      </c>
      <c r="AS49" s="43">
        <f t="shared" si="31"/>
        <v>1</v>
      </c>
      <c r="AT49" s="43">
        <f t="shared" si="31"/>
        <v>1</v>
      </c>
      <c r="AU49" s="43">
        <f t="shared" si="31"/>
        <v>1</v>
      </c>
      <c r="AV49" s="43">
        <f t="shared" si="32"/>
        <v>1</v>
      </c>
      <c r="AW49" s="43">
        <f t="shared" si="32"/>
        <v>1</v>
      </c>
      <c r="AX49" s="43">
        <f t="shared" si="32"/>
        <v>1</v>
      </c>
      <c r="AY49" s="43">
        <f t="shared" si="32"/>
        <v>1</v>
      </c>
      <c r="AZ49" s="43">
        <f t="shared" si="32"/>
        <v>1</v>
      </c>
      <c r="BA49" s="43">
        <f t="shared" si="32"/>
        <v>1</v>
      </c>
      <c r="BB49" s="43">
        <f t="shared" si="32"/>
        <v>1</v>
      </c>
      <c r="BC49" s="43">
        <f t="shared" si="32"/>
        <v>1</v>
      </c>
      <c r="BD49" s="43">
        <f t="shared" si="32"/>
        <v>1</v>
      </c>
      <c r="BE49" s="43">
        <f t="shared" si="32"/>
        <v>1</v>
      </c>
      <c r="BF49" s="43">
        <f t="shared" si="33"/>
        <v>1</v>
      </c>
      <c r="BG49" s="43">
        <f t="shared" si="33"/>
        <v>1</v>
      </c>
      <c r="BH49" s="43">
        <f t="shared" si="33"/>
        <v>1</v>
      </c>
      <c r="BI49" s="43">
        <f t="shared" si="33"/>
        <v>1</v>
      </c>
      <c r="BJ49" s="43">
        <f t="shared" si="33"/>
        <v>1</v>
      </c>
      <c r="BK49" s="43">
        <f t="shared" si="33"/>
        <v>1</v>
      </c>
      <c r="BL49" s="43">
        <f t="shared" si="33"/>
        <v>1</v>
      </c>
      <c r="BM49" s="43">
        <f t="shared" si="33"/>
        <v>1</v>
      </c>
      <c r="BN49" s="43">
        <f t="shared" si="33"/>
        <v>1</v>
      </c>
      <c r="BO49" s="43">
        <f t="shared" si="33"/>
        <v>1</v>
      </c>
      <c r="BP49" s="43">
        <f t="shared" si="34"/>
        <v>1</v>
      </c>
      <c r="BQ49" s="43">
        <f t="shared" si="34"/>
        <v>1</v>
      </c>
      <c r="BR49" s="43">
        <f t="shared" si="34"/>
        <v>0</v>
      </c>
      <c r="BS49" s="43">
        <f t="shared" si="34"/>
        <v>0</v>
      </c>
      <c r="BT49" s="43">
        <f t="shared" si="34"/>
        <v>0</v>
      </c>
      <c r="BU49" s="43">
        <f t="shared" si="34"/>
        <v>0</v>
      </c>
      <c r="BV49" s="43">
        <f t="shared" si="34"/>
        <v>0</v>
      </c>
      <c r="BW49" s="43">
        <f t="shared" si="34"/>
        <v>0</v>
      </c>
      <c r="BX49" s="43">
        <f t="shared" si="34"/>
        <v>0</v>
      </c>
      <c r="BY49" s="43">
        <f t="shared" si="34"/>
        <v>0</v>
      </c>
      <c r="BZ49" s="43">
        <f t="shared" si="34"/>
        <v>0</v>
      </c>
      <c r="CA49" s="43">
        <f t="shared" si="34"/>
        <v>0</v>
      </c>
    </row>
    <row r="50" spans="1:79" x14ac:dyDescent="0.25">
      <c r="A50" s="35">
        <v>33</v>
      </c>
      <c r="B50" s="8"/>
      <c r="C50" s="8"/>
      <c r="D50" s="8"/>
      <c r="E50" s="7"/>
      <c r="F50" s="49"/>
      <c r="G50" s="5"/>
      <c r="H50" s="10">
        <f t="shared" si="8"/>
        <v>0</v>
      </c>
      <c r="I50" s="49" t="e">
        <f>VLOOKUP(B50,База!$B$8:$I$52,3,FALSE)*60</f>
        <v>#N/A</v>
      </c>
      <c r="J50" s="35" t="e">
        <f>VLOOKUP(B50,База!$B$8:$I$52,7,FALSE)*I50</f>
        <v>#N/A</v>
      </c>
      <c r="K50" s="35" t="e">
        <f>VLOOKUP(B50,База!$B$8:$I$52,6,FALSE)</f>
        <v>#N/A</v>
      </c>
      <c r="L50" s="35" t="e">
        <f t="shared" si="35"/>
        <v>#N/A</v>
      </c>
      <c r="M50" s="9">
        <f t="shared" si="36"/>
        <v>0</v>
      </c>
      <c r="N50" s="53">
        <f t="shared" si="13"/>
        <v>612.23658315042314</v>
      </c>
      <c r="O50" s="53">
        <f t="shared" si="14"/>
        <v>612.23658315042314</v>
      </c>
      <c r="P50" s="53">
        <f t="shared" si="15"/>
        <v>0</v>
      </c>
      <c r="Q50" s="53">
        <f t="shared" si="16"/>
        <v>612.23658315042314</v>
      </c>
      <c r="R50" s="43">
        <f t="shared" si="29"/>
        <v>1</v>
      </c>
      <c r="S50" s="43">
        <f t="shared" si="29"/>
        <v>1</v>
      </c>
      <c r="T50" s="43">
        <f t="shared" si="29"/>
        <v>1</v>
      </c>
      <c r="U50" s="43">
        <f t="shared" si="29"/>
        <v>1</v>
      </c>
      <c r="V50" s="43">
        <f t="shared" si="29"/>
        <v>1</v>
      </c>
      <c r="W50" s="43">
        <f t="shared" si="29"/>
        <v>1</v>
      </c>
      <c r="X50" s="43">
        <f t="shared" si="29"/>
        <v>1</v>
      </c>
      <c r="Y50" s="43">
        <f t="shared" si="29"/>
        <v>1</v>
      </c>
      <c r="Z50" s="43">
        <f t="shared" si="29"/>
        <v>1</v>
      </c>
      <c r="AA50" s="43">
        <f t="shared" si="29"/>
        <v>1</v>
      </c>
      <c r="AB50" s="43">
        <f t="shared" si="30"/>
        <v>1</v>
      </c>
      <c r="AC50" s="43">
        <f t="shared" si="30"/>
        <v>1</v>
      </c>
      <c r="AD50" s="43">
        <f t="shared" si="30"/>
        <v>1</v>
      </c>
      <c r="AE50" s="43">
        <f t="shared" si="30"/>
        <v>1</v>
      </c>
      <c r="AF50" s="43">
        <f t="shared" si="30"/>
        <v>1</v>
      </c>
      <c r="AG50" s="43">
        <f t="shared" si="30"/>
        <v>1</v>
      </c>
      <c r="AH50" s="43">
        <f t="shared" si="30"/>
        <v>1</v>
      </c>
      <c r="AI50" s="43">
        <f t="shared" si="30"/>
        <v>1</v>
      </c>
      <c r="AJ50" s="43">
        <f t="shared" si="30"/>
        <v>1</v>
      </c>
      <c r="AK50" s="43">
        <f t="shared" si="30"/>
        <v>1</v>
      </c>
      <c r="AL50" s="43">
        <f t="shared" si="31"/>
        <v>1</v>
      </c>
      <c r="AM50" s="43">
        <f t="shared" si="31"/>
        <v>1</v>
      </c>
      <c r="AN50" s="43">
        <f t="shared" si="31"/>
        <v>1</v>
      </c>
      <c r="AO50" s="43">
        <f t="shared" si="31"/>
        <v>1</v>
      </c>
      <c r="AP50" s="43">
        <f t="shared" si="31"/>
        <v>1</v>
      </c>
      <c r="AQ50" s="43">
        <f t="shared" si="31"/>
        <v>1</v>
      </c>
      <c r="AR50" s="43">
        <f t="shared" si="31"/>
        <v>1</v>
      </c>
      <c r="AS50" s="43">
        <f t="shared" si="31"/>
        <v>1</v>
      </c>
      <c r="AT50" s="43">
        <f t="shared" si="31"/>
        <v>1</v>
      </c>
      <c r="AU50" s="43">
        <f t="shared" si="31"/>
        <v>1</v>
      </c>
      <c r="AV50" s="43">
        <f t="shared" si="32"/>
        <v>1</v>
      </c>
      <c r="AW50" s="43">
        <f t="shared" si="32"/>
        <v>1</v>
      </c>
      <c r="AX50" s="43">
        <f t="shared" si="32"/>
        <v>1</v>
      </c>
      <c r="AY50" s="43">
        <f t="shared" si="32"/>
        <v>1</v>
      </c>
      <c r="AZ50" s="43">
        <f t="shared" si="32"/>
        <v>1</v>
      </c>
      <c r="BA50" s="43">
        <f t="shared" si="32"/>
        <v>1</v>
      </c>
      <c r="BB50" s="43">
        <f t="shared" si="32"/>
        <v>1</v>
      </c>
      <c r="BC50" s="43">
        <f t="shared" si="32"/>
        <v>1</v>
      </c>
      <c r="BD50" s="43">
        <f t="shared" si="32"/>
        <v>1</v>
      </c>
      <c r="BE50" s="43">
        <f t="shared" si="32"/>
        <v>1</v>
      </c>
      <c r="BF50" s="43">
        <f t="shared" si="33"/>
        <v>1</v>
      </c>
      <c r="BG50" s="43">
        <f t="shared" si="33"/>
        <v>1</v>
      </c>
      <c r="BH50" s="43">
        <f t="shared" si="33"/>
        <v>1</v>
      </c>
      <c r="BI50" s="43">
        <f t="shared" si="33"/>
        <v>1</v>
      </c>
      <c r="BJ50" s="43">
        <f t="shared" si="33"/>
        <v>1</v>
      </c>
      <c r="BK50" s="43">
        <f t="shared" si="33"/>
        <v>1</v>
      </c>
      <c r="BL50" s="43">
        <f t="shared" si="33"/>
        <v>1</v>
      </c>
      <c r="BM50" s="43">
        <f t="shared" si="33"/>
        <v>1</v>
      </c>
      <c r="BN50" s="43">
        <f t="shared" si="33"/>
        <v>1</v>
      </c>
      <c r="BO50" s="43">
        <f t="shared" si="33"/>
        <v>1</v>
      </c>
      <c r="BP50" s="43">
        <f t="shared" si="34"/>
        <v>1</v>
      </c>
      <c r="BQ50" s="43">
        <f t="shared" si="34"/>
        <v>1</v>
      </c>
      <c r="BR50" s="43">
        <f t="shared" si="34"/>
        <v>0</v>
      </c>
      <c r="BS50" s="43">
        <f t="shared" si="34"/>
        <v>0</v>
      </c>
      <c r="BT50" s="43">
        <f t="shared" si="34"/>
        <v>0</v>
      </c>
      <c r="BU50" s="43">
        <f t="shared" si="34"/>
        <v>0</v>
      </c>
      <c r="BV50" s="43">
        <f t="shared" si="34"/>
        <v>0</v>
      </c>
      <c r="BW50" s="43">
        <f t="shared" si="34"/>
        <v>0</v>
      </c>
      <c r="BX50" s="43">
        <f t="shared" si="34"/>
        <v>0</v>
      </c>
      <c r="BY50" s="43">
        <f t="shared" si="34"/>
        <v>0</v>
      </c>
      <c r="BZ50" s="43">
        <f t="shared" si="34"/>
        <v>0</v>
      </c>
      <c r="CA50" s="43">
        <f t="shared" si="34"/>
        <v>0</v>
      </c>
    </row>
    <row r="51" spans="1:79" x14ac:dyDescent="0.25">
      <c r="A51" s="35">
        <v>34</v>
      </c>
      <c r="B51" s="8"/>
      <c r="C51" s="8"/>
      <c r="D51" s="8"/>
      <c r="E51" s="7"/>
      <c r="F51" s="49"/>
      <c r="G51" s="5"/>
      <c r="H51" s="10">
        <f t="shared" si="8"/>
        <v>0</v>
      </c>
      <c r="I51" s="49" t="e">
        <f>VLOOKUP(B51,База!$B$8:$I$52,3,FALSE)*60</f>
        <v>#N/A</v>
      </c>
      <c r="J51" s="35" t="e">
        <f>VLOOKUP(B51,База!$B$8:$I$52,7,FALSE)*I51</f>
        <v>#N/A</v>
      </c>
      <c r="K51" s="35" t="e">
        <f>VLOOKUP(B51,База!$B$8:$I$52,6,FALSE)</f>
        <v>#N/A</v>
      </c>
      <c r="L51" s="35" t="e">
        <f t="shared" si="35"/>
        <v>#N/A</v>
      </c>
      <c r="M51" s="9">
        <f t="shared" si="36"/>
        <v>0</v>
      </c>
      <c r="N51" s="53">
        <f t="shared" si="13"/>
        <v>612.23658315042314</v>
      </c>
      <c r="O51" s="53">
        <f t="shared" si="14"/>
        <v>612.23658315042314</v>
      </c>
      <c r="P51" s="53">
        <f t="shared" si="15"/>
        <v>0</v>
      </c>
      <c r="Q51" s="53">
        <f t="shared" si="16"/>
        <v>612.23658315042314</v>
      </c>
      <c r="R51" s="43">
        <f t="shared" si="29"/>
        <v>1</v>
      </c>
      <c r="S51" s="43">
        <f t="shared" si="29"/>
        <v>1</v>
      </c>
      <c r="T51" s="43">
        <f t="shared" si="29"/>
        <v>1</v>
      </c>
      <c r="U51" s="43">
        <f t="shared" si="29"/>
        <v>1</v>
      </c>
      <c r="V51" s="43">
        <f t="shared" si="29"/>
        <v>1</v>
      </c>
      <c r="W51" s="43">
        <f t="shared" si="29"/>
        <v>1</v>
      </c>
      <c r="X51" s="43">
        <f t="shared" si="29"/>
        <v>1</v>
      </c>
      <c r="Y51" s="43">
        <f t="shared" si="29"/>
        <v>1</v>
      </c>
      <c r="Z51" s="43">
        <f t="shared" si="29"/>
        <v>1</v>
      </c>
      <c r="AA51" s="43">
        <f t="shared" si="29"/>
        <v>1</v>
      </c>
      <c r="AB51" s="43">
        <f t="shared" si="30"/>
        <v>1</v>
      </c>
      <c r="AC51" s="43">
        <f t="shared" si="30"/>
        <v>1</v>
      </c>
      <c r="AD51" s="43">
        <f t="shared" si="30"/>
        <v>1</v>
      </c>
      <c r="AE51" s="43">
        <f t="shared" si="30"/>
        <v>1</v>
      </c>
      <c r="AF51" s="43">
        <f t="shared" si="30"/>
        <v>1</v>
      </c>
      <c r="AG51" s="43">
        <f t="shared" si="30"/>
        <v>1</v>
      </c>
      <c r="AH51" s="43">
        <f t="shared" si="30"/>
        <v>1</v>
      </c>
      <c r="AI51" s="43">
        <f t="shared" si="30"/>
        <v>1</v>
      </c>
      <c r="AJ51" s="43">
        <f t="shared" si="30"/>
        <v>1</v>
      </c>
      <c r="AK51" s="43">
        <f t="shared" si="30"/>
        <v>1</v>
      </c>
      <c r="AL51" s="43">
        <f t="shared" si="31"/>
        <v>1</v>
      </c>
      <c r="AM51" s="43">
        <f t="shared" si="31"/>
        <v>1</v>
      </c>
      <c r="AN51" s="43">
        <f t="shared" si="31"/>
        <v>1</v>
      </c>
      <c r="AO51" s="43">
        <f t="shared" si="31"/>
        <v>1</v>
      </c>
      <c r="AP51" s="43">
        <f t="shared" si="31"/>
        <v>1</v>
      </c>
      <c r="AQ51" s="43">
        <f t="shared" si="31"/>
        <v>1</v>
      </c>
      <c r="AR51" s="43">
        <f t="shared" si="31"/>
        <v>1</v>
      </c>
      <c r="AS51" s="43">
        <f t="shared" si="31"/>
        <v>1</v>
      </c>
      <c r="AT51" s="43">
        <f t="shared" si="31"/>
        <v>1</v>
      </c>
      <c r="AU51" s="43">
        <f t="shared" si="31"/>
        <v>1</v>
      </c>
      <c r="AV51" s="43">
        <f t="shared" si="32"/>
        <v>1</v>
      </c>
      <c r="AW51" s="43">
        <f t="shared" si="32"/>
        <v>1</v>
      </c>
      <c r="AX51" s="43">
        <f t="shared" si="32"/>
        <v>1</v>
      </c>
      <c r="AY51" s="43">
        <f t="shared" si="32"/>
        <v>1</v>
      </c>
      <c r="AZ51" s="43">
        <f t="shared" si="32"/>
        <v>1</v>
      </c>
      <c r="BA51" s="43">
        <f t="shared" si="32"/>
        <v>1</v>
      </c>
      <c r="BB51" s="43">
        <f t="shared" si="32"/>
        <v>1</v>
      </c>
      <c r="BC51" s="43">
        <f t="shared" si="32"/>
        <v>1</v>
      </c>
      <c r="BD51" s="43">
        <f t="shared" si="32"/>
        <v>1</v>
      </c>
      <c r="BE51" s="43">
        <f t="shared" si="32"/>
        <v>1</v>
      </c>
      <c r="BF51" s="43">
        <f t="shared" si="33"/>
        <v>1</v>
      </c>
      <c r="BG51" s="43">
        <f t="shared" si="33"/>
        <v>1</v>
      </c>
      <c r="BH51" s="43">
        <f t="shared" si="33"/>
        <v>1</v>
      </c>
      <c r="BI51" s="43">
        <f t="shared" si="33"/>
        <v>1</v>
      </c>
      <c r="BJ51" s="43">
        <f t="shared" si="33"/>
        <v>1</v>
      </c>
      <c r="BK51" s="43">
        <f t="shared" si="33"/>
        <v>1</v>
      </c>
      <c r="BL51" s="43">
        <f t="shared" si="33"/>
        <v>1</v>
      </c>
      <c r="BM51" s="43">
        <f t="shared" si="33"/>
        <v>1</v>
      </c>
      <c r="BN51" s="43">
        <f t="shared" si="33"/>
        <v>1</v>
      </c>
      <c r="BO51" s="43">
        <f t="shared" si="33"/>
        <v>1</v>
      </c>
      <c r="BP51" s="43">
        <f t="shared" si="34"/>
        <v>1</v>
      </c>
      <c r="BQ51" s="43">
        <f t="shared" si="34"/>
        <v>1</v>
      </c>
      <c r="BR51" s="43">
        <f t="shared" si="34"/>
        <v>0</v>
      </c>
      <c r="BS51" s="43">
        <f t="shared" si="34"/>
        <v>0</v>
      </c>
      <c r="BT51" s="43">
        <f t="shared" si="34"/>
        <v>0</v>
      </c>
      <c r="BU51" s="43">
        <f t="shared" si="34"/>
        <v>0</v>
      </c>
      <c r="BV51" s="43">
        <f t="shared" si="34"/>
        <v>0</v>
      </c>
      <c r="BW51" s="43">
        <f t="shared" si="34"/>
        <v>0</v>
      </c>
      <c r="BX51" s="43">
        <f t="shared" si="34"/>
        <v>0</v>
      </c>
      <c r="BY51" s="43">
        <f t="shared" si="34"/>
        <v>0</v>
      </c>
      <c r="BZ51" s="43">
        <f t="shared" si="34"/>
        <v>0</v>
      </c>
      <c r="CA51" s="43">
        <f t="shared" si="34"/>
        <v>0</v>
      </c>
    </row>
    <row r="52" spans="1:79" x14ac:dyDescent="0.25">
      <c r="A52" s="35">
        <v>35</v>
      </c>
      <c r="B52" s="8"/>
      <c r="C52" s="8"/>
      <c r="D52" s="8"/>
      <c r="E52" s="7"/>
      <c r="F52" s="49"/>
      <c r="G52" s="5"/>
      <c r="H52" s="10">
        <f t="shared" si="8"/>
        <v>0</v>
      </c>
      <c r="I52" s="49" t="e">
        <f>VLOOKUP(B52,База!$B$8:$I$52,3,FALSE)*60</f>
        <v>#N/A</v>
      </c>
      <c r="J52" s="35" t="e">
        <f>VLOOKUP(B52,База!$B$8:$I$52,7,FALSE)*I52</f>
        <v>#N/A</v>
      </c>
      <c r="K52" s="35" t="e">
        <f>VLOOKUP(B52,База!$B$8:$I$52,6,FALSE)</f>
        <v>#N/A</v>
      </c>
      <c r="L52" s="35" t="e">
        <f t="shared" si="35"/>
        <v>#N/A</v>
      </c>
      <c r="M52" s="9">
        <f t="shared" si="36"/>
        <v>0</v>
      </c>
      <c r="N52" s="53">
        <f t="shared" si="13"/>
        <v>612.23658315042314</v>
      </c>
      <c r="O52" s="53">
        <f t="shared" si="14"/>
        <v>612.23658315042314</v>
      </c>
      <c r="P52" s="53">
        <f t="shared" si="15"/>
        <v>0</v>
      </c>
      <c r="Q52" s="53">
        <f t="shared" si="16"/>
        <v>612.23658315042314</v>
      </c>
      <c r="R52" s="43">
        <f t="shared" ref="R52:AA61" si="37">IF($Q52&gt;R$10,IF($Q52-$P52&lt;=R$10,$L52,1),0)</f>
        <v>1</v>
      </c>
      <c r="S52" s="43">
        <f t="shared" si="37"/>
        <v>1</v>
      </c>
      <c r="T52" s="43">
        <f t="shared" si="37"/>
        <v>1</v>
      </c>
      <c r="U52" s="43">
        <f t="shared" si="37"/>
        <v>1</v>
      </c>
      <c r="V52" s="43">
        <f t="shared" si="37"/>
        <v>1</v>
      </c>
      <c r="W52" s="43">
        <f t="shared" si="37"/>
        <v>1</v>
      </c>
      <c r="X52" s="43">
        <f t="shared" si="37"/>
        <v>1</v>
      </c>
      <c r="Y52" s="43">
        <f t="shared" si="37"/>
        <v>1</v>
      </c>
      <c r="Z52" s="43">
        <f t="shared" si="37"/>
        <v>1</v>
      </c>
      <c r="AA52" s="43">
        <f t="shared" si="37"/>
        <v>1</v>
      </c>
      <c r="AB52" s="43">
        <f t="shared" ref="AB52:AK61" si="38">IF($Q52&gt;AB$10,IF($Q52-$P52&lt;=AB$10,$L52,1),0)</f>
        <v>1</v>
      </c>
      <c r="AC52" s="43">
        <f t="shared" si="38"/>
        <v>1</v>
      </c>
      <c r="AD52" s="43">
        <f t="shared" si="38"/>
        <v>1</v>
      </c>
      <c r="AE52" s="43">
        <f t="shared" si="38"/>
        <v>1</v>
      </c>
      <c r="AF52" s="43">
        <f t="shared" si="38"/>
        <v>1</v>
      </c>
      <c r="AG52" s="43">
        <f t="shared" si="38"/>
        <v>1</v>
      </c>
      <c r="AH52" s="43">
        <f t="shared" si="38"/>
        <v>1</v>
      </c>
      <c r="AI52" s="43">
        <f t="shared" si="38"/>
        <v>1</v>
      </c>
      <c r="AJ52" s="43">
        <f t="shared" si="38"/>
        <v>1</v>
      </c>
      <c r="AK52" s="43">
        <f t="shared" si="38"/>
        <v>1</v>
      </c>
      <c r="AL52" s="43">
        <f t="shared" ref="AL52:AU61" si="39">IF($Q52&gt;AL$10,IF($Q52-$P52&lt;=AL$10,$L52,1),0)</f>
        <v>1</v>
      </c>
      <c r="AM52" s="43">
        <f t="shared" si="39"/>
        <v>1</v>
      </c>
      <c r="AN52" s="43">
        <f t="shared" si="39"/>
        <v>1</v>
      </c>
      <c r="AO52" s="43">
        <f t="shared" si="39"/>
        <v>1</v>
      </c>
      <c r="AP52" s="43">
        <f t="shared" si="39"/>
        <v>1</v>
      </c>
      <c r="AQ52" s="43">
        <f t="shared" si="39"/>
        <v>1</v>
      </c>
      <c r="AR52" s="43">
        <f t="shared" si="39"/>
        <v>1</v>
      </c>
      <c r="AS52" s="43">
        <f t="shared" si="39"/>
        <v>1</v>
      </c>
      <c r="AT52" s="43">
        <f t="shared" si="39"/>
        <v>1</v>
      </c>
      <c r="AU52" s="43">
        <f t="shared" si="39"/>
        <v>1</v>
      </c>
      <c r="AV52" s="43">
        <f t="shared" ref="AV52:BE61" si="40">IF($Q52&gt;AV$10,IF($Q52-$P52&lt;=AV$10,$L52,1),0)</f>
        <v>1</v>
      </c>
      <c r="AW52" s="43">
        <f t="shared" si="40"/>
        <v>1</v>
      </c>
      <c r="AX52" s="43">
        <f t="shared" si="40"/>
        <v>1</v>
      </c>
      <c r="AY52" s="43">
        <f t="shared" si="40"/>
        <v>1</v>
      </c>
      <c r="AZ52" s="43">
        <f t="shared" si="40"/>
        <v>1</v>
      </c>
      <c r="BA52" s="43">
        <f t="shared" si="40"/>
        <v>1</v>
      </c>
      <c r="BB52" s="43">
        <f t="shared" si="40"/>
        <v>1</v>
      </c>
      <c r="BC52" s="43">
        <f t="shared" si="40"/>
        <v>1</v>
      </c>
      <c r="BD52" s="43">
        <f t="shared" si="40"/>
        <v>1</v>
      </c>
      <c r="BE52" s="43">
        <f t="shared" si="40"/>
        <v>1</v>
      </c>
      <c r="BF52" s="43">
        <f t="shared" ref="BF52:BO61" si="41">IF($Q52&gt;BF$10,IF($Q52-$P52&lt;=BF$10,$L52,1),0)</f>
        <v>1</v>
      </c>
      <c r="BG52" s="43">
        <f t="shared" si="41"/>
        <v>1</v>
      </c>
      <c r="BH52" s="43">
        <f t="shared" si="41"/>
        <v>1</v>
      </c>
      <c r="BI52" s="43">
        <f t="shared" si="41"/>
        <v>1</v>
      </c>
      <c r="BJ52" s="43">
        <f t="shared" si="41"/>
        <v>1</v>
      </c>
      <c r="BK52" s="43">
        <f t="shared" si="41"/>
        <v>1</v>
      </c>
      <c r="BL52" s="43">
        <f t="shared" si="41"/>
        <v>1</v>
      </c>
      <c r="BM52" s="43">
        <f t="shared" si="41"/>
        <v>1</v>
      </c>
      <c r="BN52" s="43">
        <f t="shared" si="41"/>
        <v>1</v>
      </c>
      <c r="BO52" s="43">
        <f t="shared" si="41"/>
        <v>1</v>
      </c>
      <c r="BP52" s="43">
        <f t="shared" ref="BP52:CA61" si="42">IF($Q52&gt;BP$10,IF($Q52-$P52&lt;=BP$10,$L52,1),0)</f>
        <v>1</v>
      </c>
      <c r="BQ52" s="43">
        <f t="shared" si="42"/>
        <v>1</v>
      </c>
      <c r="BR52" s="43">
        <f t="shared" si="42"/>
        <v>0</v>
      </c>
      <c r="BS52" s="43">
        <f t="shared" si="42"/>
        <v>0</v>
      </c>
      <c r="BT52" s="43">
        <f t="shared" si="42"/>
        <v>0</v>
      </c>
      <c r="BU52" s="43">
        <f t="shared" si="42"/>
        <v>0</v>
      </c>
      <c r="BV52" s="43">
        <f t="shared" si="42"/>
        <v>0</v>
      </c>
      <c r="BW52" s="43">
        <f t="shared" si="42"/>
        <v>0</v>
      </c>
      <c r="BX52" s="43">
        <f t="shared" si="42"/>
        <v>0</v>
      </c>
      <c r="BY52" s="43">
        <f t="shared" si="42"/>
        <v>0</v>
      </c>
      <c r="BZ52" s="43">
        <f t="shared" si="42"/>
        <v>0</v>
      </c>
      <c r="CA52" s="43">
        <f t="shared" si="42"/>
        <v>0</v>
      </c>
    </row>
    <row r="53" spans="1:79" x14ac:dyDescent="0.25">
      <c r="A53" s="35">
        <v>36</v>
      </c>
      <c r="B53" s="8"/>
      <c r="C53" s="8"/>
      <c r="D53" s="8"/>
      <c r="E53" s="7"/>
      <c r="F53" s="49"/>
      <c r="G53" s="5"/>
      <c r="H53" s="10">
        <f t="shared" si="8"/>
        <v>0</v>
      </c>
      <c r="I53" s="49" t="e">
        <f>VLOOKUP(B53,База!$B$8:$I$52,3,FALSE)*60</f>
        <v>#N/A</v>
      </c>
      <c r="J53" s="35" t="e">
        <f>VLOOKUP(B53,База!$B$8:$I$52,7,FALSE)*I53</f>
        <v>#N/A</v>
      </c>
      <c r="K53" s="35" t="e">
        <f>VLOOKUP(B53,База!$B$8:$I$52,6,FALSE)</f>
        <v>#N/A</v>
      </c>
      <c r="L53" s="35" t="e">
        <f t="shared" si="35"/>
        <v>#N/A</v>
      </c>
      <c r="M53" s="9">
        <f t="shared" si="36"/>
        <v>0</v>
      </c>
      <c r="N53" s="53">
        <f t="shared" si="13"/>
        <v>612.23658315042314</v>
      </c>
      <c r="O53" s="53">
        <f t="shared" si="14"/>
        <v>612.23658315042314</v>
      </c>
      <c r="P53" s="53">
        <f t="shared" si="15"/>
        <v>0</v>
      </c>
      <c r="Q53" s="53">
        <f t="shared" si="16"/>
        <v>612.23658315042314</v>
      </c>
      <c r="R53" s="43">
        <f t="shared" si="37"/>
        <v>1</v>
      </c>
      <c r="S53" s="43">
        <f t="shared" si="37"/>
        <v>1</v>
      </c>
      <c r="T53" s="43">
        <f t="shared" si="37"/>
        <v>1</v>
      </c>
      <c r="U53" s="43">
        <f t="shared" si="37"/>
        <v>1</v>
      </c>
      <c r="V53" s="43">
        <f t="shared" si="37"/>
        <v>1</v>
      </c>
      <c r="W53" s="43">
        <f t="shared" si="37"/>
        <v>1</v>
      </c>
      <c r="X53" s="43">
        <f t="shared" si="37"/>
        <v>1</v>
      </c>
      <c r="Y53" s="43">
        <f t="shared" si="37"/>
        <v>1</v>
      </c>
      <c r="Z53" s="43">
        <f t="shared" si="37"/>
        <v>1</v>
      </c>
      <c r="AA53" s="43">
        <f t="shared" si="37"/>
        <v>1</v>
      </c>
      <c r="AB53" s="43">
        <f t="shared" si="38"/>
        <v>1</v>
      </c>
      <c r="AC53" s="43">
        <f t="shared" si="38"/>
        <v>1</v>
      </c>
      <c r="AD53" s="43">
        <f t="shared" si="38"/>
        <v>1</v>
      </c>
      <c r="AE53" s="43">
        <f t="shared" si="38"/>
        <v>1</v>
      </c>
      <c r="AF53" s="43">
        <f t="shared" si="38"/>
        <v>1</v>
      </c>
      <c r="AG53" s="43">
        <f t="shared" si="38"/>
        <v>1</v>
      </c>
      <c r="AH53" s="43">
        <f t="shared" si="38"/>
        <v>1</v>
      </c>
      <c r="AI53" s="43">
        <f t="shared" si="38"/>
        <v>1</v>
      </c>
      <c r="AJ53" s="43">
        <f t="shared" si="38"/>
        <v>1</v>
      </c>
      <c r="AK53" s="43">
        <f t="shared" si="38"/>
        <v>1</v>
      </c>
      <c r="AL53" s="43">
        <f t="shared" si="39"/>
        <v>1</v>
      </c>
      <c r="AM53" s="43">
        <f t="shared" si="39"/>
        <v>1</v>
      </c>
      <c r="AN53" s="43">
        <f t="shared" si="39"/>
        <v>1</v>
      </c>
      <c r="AO53" s="43">
        <f t="shared" si="39"/>
        <v>1</v>
      </c>
      <c r="AP53" s="43">
        <f t="shared" si="39"/>
        <v>1</v>
      </c>
      <c r="AQ53" s="43">
        <f t="shared" si="39"/>
        <v>1</v>
      </c>
      <c r="AR53" s="43">
        <f t="shared" si="39"/>
        <v>1</v>
      </c>
      <c r="AS53" s="43">
        <f t="shared" si="39"/>
        <v>1</v>
      </c>
      <c r="AT53" s="43">
        <f t="shared" si="39"/>
        <v>1</v>
      </c>
      <c r="AU53" s="43">
        <f t="shared" si="39"/>
        <v>1</v>
      </c>
      <c r="AV53" s="43">
        <f t="shared" si="40"/>
        <v>1</v>
      </c>
      <c r="AW53" s="43">
        <f t="shared" si="40"/>
        <v>1</v>
      </c>
      <c r="AX53" s="43">
        <f t="shared" si="40"/>
        <v>1</v>
      </c>
      <c r="AY53" s="43">
        <f t="shared" si="40"/>
        <v>1</v>
      </c>
      <c r="AZ53" s="43">
        <f t="shared" si="40"/>
        <v>1</v>
      </c>
      <c r="BA53" s="43">
        <f t="shared" si="40"/>
        <v>1</v>
      </c>
      <c r="BB53" s="43">
        <f t="shared" si="40"/>
        <v>1</v>
      </c>
      <c r="BC53" s="43">
        <f t="shared" si="40"/>
        <v>1</v>
      </c>
      <c r="BD53" s="43">
        <f t="shared" si="40"/>
        <v>1</v>
      </c>
      <c r="BE53" s="43">
        <f t="shared" si="40"/>
        <v>1</v>
      </c>
      <c r="BF53" s="43">
        <f t="shared" si="41"/>
        <v>1</v>
      </c>
      <c r="BG53" s="43">
        <f t="shared" si="41"/>
        <v>1</v>
      </c>
      <c r="BH53" s="43">
        <f t="shared" si="41"/>
        <v>1</v>
      </c>
      <c r="BI53" s="43">
        <f t="shared" si="41"/>
        <v>1</v>
      </c>
      <c r="BJ53" s="43">
        <f t="shared" si="41"/>
        <v>1</v>
      </c>
      <c r="BK53" s="43">
        <f t="shared" si="41"/>
        <v>1</v>
      </c>
      <c r="BL53" s="43">
        <f t="shared" si="41"/>
        <v>1</v>
      </c>
      <c r="BM53" s="43">
        <f t="shared" si="41"/>
        <v>1</v>
      </c>
      <c r="BN53" s="43">
        <f t="shared" si="41"/>
        <v>1</v>
      </c>
      <c r="BO53" s="43">
        <f t="shared" si="41"/>
        <v>1</v>
      </c>
      <c r="BP53" s="43">
        <f t="shared" si="42"/>
        <v>1</v>
      </c>
      <c r="BQ53" s="43">
        <f t="shared" si="42"/>
        <v>1</v>
      </c>
      <c r="BR53" s="43">
        <f t="shared" si="42"/>
        <v>0</v>
      </c>
      <c r="BS53" s="43">
        <f t="shared" si="42"/>
        <v>0</v>
      </c>
      <c r="BT53" s="43">
        <f t="shared" si="42"/>
        <v>0</v>
      </c>
      <c r="BU53" s="43">
        <f t="shared" si="42"/>
        <v>0</v>
      </c>
      <c r="BV53" s="43">
        <f t="shared" si="42"/>
        <v>0</v>
      </c>
      <c r="BW53" s="43">
        <f t="shared" si="42"/>
        <v>0</v>
      </c>
      <c r="BX53" s="43">
        <f t="shared" si="42"/>
        <v>0</v>
      </c>
      <c r="BY53" s="43">
        <f t="shared" si="42"/>
        <v>0</v>
      </c>
      <c r="BZ53" s="43">
        <f t="shared" si="42"/>
        <v>0</v>
      </c>
      <c r="CA53" s="43">
        <f t="shared" si="42"/>
        <v>0</v>
      </c>
    </row>
    <row r="54" spans="1:79" x14ac:dyDescent="0.25">
      <c r="A54" s="35">
        <v>37</v>
      </c>
      <c r="B54" s="8"/>
      <c r="C54" s="8"/>
      <c r="D54" s="8"/>
      <c r="E54" s="7"/>
      <c r="F54" s="49"/>
      <c r="G54" s="5"/>
      <c r="H54" s="10">
        <f t="shared" si="8"/>
        <v>0</v>
      </c>
      <c r="I54" s="49" t="e">
        <f>VLOOKUP(B54,База!$B$8:$I$52,3,FALSE)*60</f>
        <v>#N/A</v>
      </c>
      <c r="J54" s="35" t="e">
        <f>VLOOKUP(B54,База!$B$8:$I$52,7,FALSE)*I54</f>
        <v>#N/A</v>
      </c>
      <c r="K54" s="35" t="e">
        <f>VLOOKUP(B54,База!$B$8:$I$52,6,FALSE)</f>
        <v>#N/A</v>
      </c>
      <c r="L54" s="35" t="e">
        <f t="shared" si="35"/>
        <v>#N/A</v>
      </c>
      <c r="M54" s="9">
        <f t="shared" si="36"/>
        <v>0</v>
      </c>
      <c r="N54" s="53">
        <f t="shared" si="13"/>
        <v>612.23658315042314</v>
      </c>
      <c r="O54" s="53">
        <f t="shared" si="14"/>
        <v>612.23658315042314</v>
      </c>
      <c r="P54" s="53">
        <f t="shared" si="15"/>
        <v>0</v>
      </c>
      <c r="Q54" s="53">
        <f t="shared" si="16"/>
        <v>612.23658315042314</v>
      </c>
      <c r="R54" s="43">
        <f t="shared" si="37"/>
        <v>1</v>
      </c>
      <c r="S54" s="43">
        <f t="shared" si="37"/>
        <v>1</v>
      </c>
      <c r="T54" s="43">
        <f t="shared" si="37"/>
        <v>1</v>
      </c>
      <c r="U54" s="43">
        <f t="shared" si="37"/>
        <v>1</v>
      </c>
      <c r="V54" s="43">
        <f t="shared" si="37"/>
        <v>1</v>
      </c>
      <c r="W54" s="43">
        <f t="shared" si="37"/>
        <v>1</v>
      </c>
      <c r="X54" s="43">
        <f t="shared" si="37"/>
        <v>1</v>
      </c>
      <c r="Y54" s="43">
        <f t="shared" si="37"/>
        <v>1</v>
      </c>
      <c r="Z54" s="43">
        <f t="shared" si="37"/>
        <v>1</v>
      </c>
      <c r="AA54" s="43">
        <f t="shared" si="37"/>
        <v>1</v>
      </c>
      <c r="AB54" s="43">
        <f t="shared" si="38"/>
        <v>1</v>
      </c>
      <c r="AC54" s="43">
        <f t="shared" si="38"/>
        <v>1</v>
      </c>
      <c r="AD54" s="43">
        <f t="shared" si="38"/>
        <v>1</v>
      </c>
      <c r="AE54" s="43">
        <f t="shared" si="38"/>
        <v>1</v>
      </c>
      <c r="AF54" s="43">
        <f t="shared" si="38"/>
        <v>1</v>
      </c>
      <c r="AG54" s="43">
        <f t="shared" si="38"/>
        <v>1</v>
      </c>
      <c r="AH54" s="43">
        <f t="shared" si="38"/>
        <v>1</v>
      </c>
      <c r="AI54" s="43">
        <f t="shared" si="38"/>
        <v>1</v>
      </c>
      <c r="AJ54" s="43">
        <f t="shared" si="38"/>
        <v>1</v>
      </c>
      <c r="AK54" s="43">
        <f t="shared" si="38"/>
        <v>1</v>
      </c>
      <c r="AL54" s="43">
        <f t="shared" si="39"/>
        <v>1</v>
      </c>
      <c r="AM54" s="43">
        <f t="shared" si="39"/>
        <v>1</v>
      </c>
      <c r="AN54" s="43">
        <f t="shared" si="39"/>
        <v>1</v>
      </c>
      <c r="AO54" s="43">
        <f t="shared" si="39"/>
        <v>1</v>
      </c>
      <c r="AP54" s="43">
        <f t="shared" si="39"/>
        <v>1</v>
      </c>
      <c r="AQ54" s="43">
        <f t="shared" si="39"/>
        <v>1</v>
      </c>
      <c r="AR54" s="43">
        <f t="shared" si="39"/>
        <v>1</v>
      </c>
      <c r="AS54" s="43">
        <f t="shared" si="39"/>
        <v>1</v>
      </c>
      <c r="AT54" s="43">
        <f t="shared" si="39"/>
        <v>1</v>
      </c>
      <c r="AU54" s="43">
        <f t="shared" si="39"/>
        <v>1</v>
      </c>
      <c r="AV54" s="43">
        <f t="shared" si="40"/>
        <v>1</v>
      </c>
      <c r="AW54" s="43">
        <f t="shared" si="40"/>
        <v>1</v>
      </c>
      <c r="AX54" s="43">
        <f t="shared" si="40"/>
        <v>1</v>
      </c>
      <c r="AY54" s="43">
        <f t="shared" si="40"/>
        <v>1</v>
      </c>
      <c r="AZ54" s="43">
        <f t="shared" si="40"/>
        <v>1</v>
      </c>
      <c r="BA54" s="43">
        <f t="shared" si="40"/>
        <v>1</v>
      </c>
      <c r="BB54" s="43">
        <f t="shared" si="40"/>
        <v>1</v>
      </c>
      <c r="BC54" s="43">
        <f t="shared" si="40"/>
        <v>1</v>
      </c>
      <c r="BD54" s="43">
        <f t="shared" si="40"/>
        <v>1</v>
      </c>
      <c r="BE54" s="43">
        <f t="shared" si="40"/>
        <v>1</v>
      </c>
      <c r="BF54" s="43">
        <f t="shared" si="41"/>
        <v>1</v>
      </c>
      <c r="BG54" s="43">
        <f t="shared" si="41"/>
        <v>1</v>
      </c>
      <c r="BH54" s="43">
        <f t="shared" si="41"/>
        <v>1</v>
      </c>
      <c r="BI54" s="43">
        <f t="shared" si="41"/>
        <v>1</v>
      </c>
      <c r="BJ54" s="43">
        <f t="shared" si="41"/>
        <v>1</v>
      </c>
      <c r="BK54" s="43">
        <f t="shared" si="41"/>
        <v>1</v>
      </c>
      <c r="BL54" s="43">
        <f t="shared" si="41"/>
        <v>1</v>
      </c>
      <c r="BM54" s="43">
        <f t="shared" si="41"/>
        <v>1</v>
      </c>
      <c r="BN54" s="43">
        <f t="shared" si="41"/>
        <v>1</v>
      </c>
      <c r="BO54" s="43">
        <f t="shared" si="41"/>
        <v>1</v>
      </c>
      <c r="BP54" s="43">
        <f t="shared" si="42"/>
        <v>1</v>
      </c>
      <c r="BQ54" s="43">
        <f t="shared" si="42"/>
        <v>1</v>
      </c>
      <c r="BR54" s="43">
        <f t="shared" si="42"/>
        <v>0</v>
      </c>
      <c r="BS54" s="43">
        <f t="shared" si="42"/>
        <v>0</v>
      </c>
      <c r="BT54" s="43">
        <f t="shared" si="42"/>
        <v>0</v>
      </c>
      <c r="BU54" s="43">
        <f t="shared" si="42"/>
        <v>0</v>
      </c>
      <c r="BV54" s="43">
        <f t="shared" si="42"/>
        <v>0</v>
      </c>
      <c r="BW54" s="43">
        <f t="shared" si="42"/>
        <v>0</v>
      </c>
      <c r="BX54" s="43">
        <f t="shared" si="42"/>
        <v>0</v>
      </c>
      <c r="BY54" s="43">
        <f t="shared" si="42"/>
        <v>0</v>
      </c>
      <c r="BZ54" s="43">
        <f t="shared" si="42"/>
        <v>0</v>
      </c>
      <c r="CA54" s="43">
        <f t="shared" si="42"/>
        <v>0</v>
      </c>
    </row>
    <row r="55" spans="1:79" x14ac:dyDescent="0.25">
      <c r="A55" s="35">
        <v>38</v>
      </c>
      <c r="B55" s="8"/>
      <c r="C55" s="8"/>
      <c r="D55" s="8"/>
      <c r="E55" s="7"/>
      <c r="F55" s="49"/>
      <c r="G55" s="5"/>
      <c r="H55" s="10">
        <f t="shared" si="8"/>
        <v>0</v>
      </c>
      <c r="I55" s="49" t="e">
        <f>VLOOKUP(B55,База!$B$8:$I$52,3,FALSE)*60</f>
        <v>#N/A</v>
      </c>
      <c r="J55" s="35" t="e">
        <f>VLOOKUP(B55,База!$B$8:$I$52,7,FALSE)*I55</f>
        <v>#N/A</v>
      </c>
      <c r="K55" s="35" t="e">
        <f>VLOOKUP(B55,База!$B$8:$I$52,6,FALSE)</f>
        <v>#N/A</v>
      </c>
      <c r="L55" s="35" t="e">
        <f t="shared" si="35"/>
        <v>#N/A</v>
      </c>
      <c r="M55" s="9">
        <f t="shared" si="36"/>
        <v>0</v>
      </c>
      <c r="N55" s="53">
        <f t="shared" si="13"/>
        <v>612.23658315042314</v>
      </c>
      <c r="O55" s="53">
        <f t="shared" si="14"/>
        <v>612.23658315042314</v>
      </c>
      <c r="P55" s="53">
        <f t="shared" si="15"/>
        <v>0</v>
      </c>
      <c r="Q55" s="53">
        <f t="shared" si="16"/>
        <v>612.23658315042314</v>
      </c>
      <c r="R55" s="43">
        <f t="shared" si="37"/>
        <v>1</v>
      </c>
      <c r="S55" s="43">
        <f t="shared" si="37"/>
        <v>1</v>
      </c>
      <c r="T55" s="43">
        <f t="shared" si="37"/>
        <v>1</v>
      </c>
      <c r="U55" s="43">
        <f t="shared" si="37"/>
        <v>1</v>
      </c>
      <c r="V55" s="43">
        <f t="shared" si="37"/>
        <v>1</v>
      </c>
      <c r="W55" s="43">
        <f t="shared" si="37"/>
        <v>1</v>
      </c>
      <c r="X55" s="43">
        <f t="shared" si="37"/>
        <v>1</v>
      </c>
      <c r="Y55" s="43">
        <f t="shared" si="37"/>
        <v>1</v>
      </c>
      <c r="Z55" s="43">
        <f t="shared" si="37"/>
        <v>1</v>
      </c>
      <c r="AA55" s="43">
        <f t="shared" si="37"/>
        <v>1</v>
      </c>
      <c r="AB55" s="43">
        <f t="shared" si="38"/>
        <v>1</v>
      </c>
      <c r="AC55" s="43">
        <f t="shared" si="38"/>
        <v>1</v>
      </c>
      <c r="AD55" s="43">
        <f t="shared" si="38"/>
        <v>1</v>
      </c>
      <c r="AE55" s="43">
        <f t="shared" si="38"/>
        <v>1</v>
      </c>
      <c r="AF55" s="43">
        <f t="shared" si="38"/>
        <v>1</v>
      </c>
      <c r="AG55" s="43">
        <f t="shared" si="38"/>
        <v>1</v>
      </c>
      <c r="AH55" s="43">
        <f t="shared" si="38"/>
        <v>1</v>
      </c>
      <c r="AI55" s="43">
        <f t="shared" si="38"/>
        <v>1</v>
      </c>
      <c r="AJ55" s="43">
        <f t="shared" si="38"/>
        <v>1</v>
      </c>
      <c r="AK55" s="43">
        <f t="shared" si="38"/>
        <v>1</v>
      </c>
      <c r="AL55" s="43">
        <f t="shared" si="39"/>
        <v>1</v>
      </c>
      <c r="AM55" s="43">
        <f t="shared" si="39"/>
        <v>1</v>
      </c>
      <c r="AN55" s="43">
        <f t="shared" si="39"/>
        <v>1</v>
      </c>
      <c r="AO55" s="43">
        <f t="shared" si="39"/>
        <v>1</v>
      </c>
      <c r="AP55" s="43">
        <f t="shared" si="39"/>
        <v>1</v>
      </c>
      <c r="AQ55" s="43">
        <f t="shared" si="39"/>
        <v>1</v>
      </c>
      <c r="AR55" s="43">
        <f t="shared" si="39"/>
        <v>1</v>
      </c>
      <c r="AS55" s="43">
        <f t="shared" si="39"/>
        <v>1</v>
      </c>
      <c r="AT55" s="43">
        <f t="shared" si="39"/>
        <v>1</v>
      </c>
      <c r="AU55" s="43">
        <f t="shared" si="39"/>
        <v>1</v>
      </c>
      <c r="AV55" s="43">
        <f t="shared" si="40"/>
        <v>1</v>
      </c>
      <c r="AW55" s="43">
        <f t="shared" si="40"/>
        <v>1</v>
      </c>
      <c r="AX55" s="43">
        <f t="shared" si="40"/>
        <v>1</v>
      </c>
      <c r="AY55" s="43">
        <f t="shared" si="40"/>
        <v>1</v>
      </c>
      <c r="AZ55" s="43">
        <f t="shared" si="40"/>
        <v>1</v>
      </c>
      <c r="BA55" s="43">
        <f t="shared" si="40"/>
        <v>1</v>
      </c>
      <c r="BB55" s="43">
        <f t="shared" si="40"/>
        <v>1</v>
      </c>
      <c r="BC55" s="43">
        <f t="shared" si="40"/>
        <v>1</v>
      </c>
      <c r="BD55" s="43">
        <f t="shared" si="40"/>
        <v>1</v>
      </c>
      <c r="BE55" s="43">
        <f t="shared" si="40"/>
        <v>1</v>
      </c>
      <c r="BF55" s="43">
        <f t="shared" si="41"/>
        <v>1</v>
      </c>
      <c r="BG55" s="43">
        <f t="shared" si="41"/>
        <v>1</v>
      </c>
      <c r="BH55" s="43">
        <f t="shared" si="41"/>
        <v>1</v>
      </c>
      <c r="BI55" s="43">
        <f t="shared" si="41"/>
        <v>1</v>
      </c>
      <c r="BJ55" s="43">
        <f t="shared" si="41"/>
        <v>1</v>
      </c>
      <c r="BK55" s="43">
        <f t="shared" si="41"/>
        <v>1</v>
      </c>
      <c r="BL55" s="43">
        <f t="shared" si="41"/>
        <v>1</v>
      </c>
      <c r="BM55" s="43">
        <f t="shared" si="41"/>
        <v>1</v>
      </c>
      <c r="BN55" s="43">
        <f t="shared" si="41"/>
        <v>1</v>
      </c>
      <c r="BO55" s="43">
        <f t="shared" si="41"/>
        <v>1</v>
      </c>
      <c r="BP55" s="43">
        <f t="shared" si="42"/>
        <v>1</v>
      </c>
      <c r="BQ55" s="43">
        <f t="shared" si="42"/>
        <v>1</v>
      </c>
      <c r="BR55" s="43">
        <f t="shared" si="42"/>
        <v>0</v>
      </c>
      <c r="BS55" s="43">
        <f t="shared" si="42"/>
        <v>0</v>
      </c>
      <c r="BT55" s="43">
        <f t="shared" si="42"/>
        <v>0</v>
      </c>
      <c r="BU55" s="43">
        <f t="shared" si="42"/>
        <v>0</v>
      </c>
      <c r="BV55" s="43">
        <f t="shared" si="42"/>
        <v>0</v>
      </c>
      <c r="BW55" s="43">
        <f t="shared" si="42"/>
        <v>0</v>
      </c>
      <c r="BX55" s="43">
        <f t="shared" si="42"/>
        <v>0</v>
      </c>
      <c r="BY55" s="43">
        <f t="shared" si="42"/>
        <v>0</v>
      </c>
      <c r="BZ55" s="43">
        <f t="shared" si="42"/>
        <v>0</v>
      </c>
      <c r="CA55" s="43">
        <f t="shared" si="42"/>
        <v>0</v>
      </c>
    </row>
    <row r="56" spans="1:79" x14ac:dyDescent="0.25">
      <c r="A56" s="35">
        <v>39</v>
      </c>
      <c r="B56" s="8"/>
      <c r="C56" s="8"/>
      <c r="D56" s="8"/>
      <c r="E56" s="7"/>
      <c r="F56" s="49"/>
      <c r="G56" s="5"/>
      <c r="H56" s="10">
        <f t="shared" si="8"/>
        <v>0</v>
      </c>
      <c r="I56" s="49" t="e">
        <f>VLOOKUP(B56,База!$B$8:$I$52,3,FALSE)*60</f>
        <v>#N/A</v>
      </c>
      <c r="J56" s="35" t="e">
        <f>VLOOKUP(B56,База!$B$8:$I$52,7,FALSE)*I56</f>
        <v>#N/A</v>
      </c>
      <c r="K56" s="35" t="e">
        <f>VLOOKUP(B56,База!$B$8:$I$52,6,FALSE)</f>
        <v>#N/A</v>
      </c>
      <c r="L56" s="35" t="e">
        <f t="shared" si="35"/>
        <v>#N/A</v>
      </c>
      <c r="M56" s="9">
        <f t="shared" si="36"/>
        <v>0</v>
      </c>
      <c r="N56" s="53">
        <f t="shared" si="13"/>
        <v>612.23658315042314</v>
      </c>
      <c r="O56" s="53">
        <f t="shared" si="14"/>
        <v>612.23658315042314</v>
      </c>
      <c r="P56" s="53">
        <f t="shared" si="15"/>
        <v>0</v>
      </c>
      <c r="Q56" s="53">
        <f t="shared" si="16"/>
        <v>612.23658315042314</v>
      </c>
      <c r="R56" s="43">
        <f t="shared" si="37"/>
        <v>1</v>
      </c>
      <c r="S56" s="43">
        <f t="shared" si="37"/>
        <v>1</v>
      </c>
      <c r="T56" s="43">
        <f t="shared" si="37"/>
        <v>1</v>
      </c>
      <c r="U56" s="43">
        <f t="shared" si="37"/>
        <v>1</v>
      </c>
      <c r="V56" s="43">
        <f t="shared" si="37"/>
        <v>1</v>
      </c>
      <c r="W56" s="43">
        <f t="shared" si="37"/>
        <v>1</v>
      </c>
      <c r="X56" s="43">
        <f t="shared" si="37"/>
        <v>1</v>
      </c>
      <c r="Y56" s="43">
        <f t="shared" si="37"/>
        <v>1</v>
      </c>
      <c r="Z56" s="43">
        <f t="shared" si="37"/>
        <v>1</v>
      </c>
      <c r="AA56" s="43">
        <f t="shared" si="37"/>
        <v>1</v>
      </c>
      <c r="AB56" s="43">
        <f t="shared" si="38"/>
        <v>1</v>
      </c>
      <c r="AC56" s="43">
        <f t="shared" si="38"/>
        <v>1</v>
      </c>
      <c r="AD56" s="43">
        <f t="shared" si="38"/>
        <v>1</v>
      </c>
      <c r="AE56" s="43">
        <f t="shared" si="38"/>
        <v>1</v>
      </c>
      <c r="AF56" s="43">
        <f t="shared" si="38"/>
        <v>1</v>
      </c>
      <c r="AG56" s="43">
        <f t="shared" si="38"/>
        <v>1</v>
      </c>
      <c r="AH56" s="43">
        <f t="shared" si="38"/>
        <v>1</v>
      </c>
      <c r="AI56" s="43">
        <f t="shared" si="38"/>
        <v>1</v>
      </c>
      <c r="AJ56" s="43">
        <f t="shared" si="38"/>
        <v>1</v>
      </c>
      <c r="AK56" s="43">
        <f t="shared" si="38"/>
        <v>1</v>
      </c>
      <c r="AL56" s="43">
        <f t="shared" si="39"/>
        <v>1</v>
      </c>
      <c r="AM56" s="43">
        <f t="shared" si="39"/>
        <v>1</v>
      </c>
      <c r="AN56" s="43">
        <f t="shared" si="39"/>
        <v>1</v>
      </c>
      <c r="AO56" s="43">
        <f t="shared" si="39"/>
        <v>1</v>
      </c>
      <c r="AP56" s="43">
        <f t="shared" si="39"/>
        <v>1</v>
      </c>
      <c r="AQ56" s="43">
        <f t="shared" si="39"/>
        <v>1</v>
      </c>
      <c r="AR56" s="43">
        <f t="shared" si="39"/>
        <v>1</v>
      </c>
      <c r="AS56" s="43">
        <f t="shared" si="39"/>
        <v>1</v>
      </c>
      <c r="AT56" s="43">
        <f t="shared" si="39"/>
        <v>1</v>
      </c>
      <c r="AU56" s="43">
        <f t="shared" si="39"/>
        <v>1</v>
      </c>
      <c r="AV56" s="43">
        <f t="shared" si="40"/>
        <v>1</v>
      </c>
      <c r="AW56" s="43">
        <f t="shared" si="40"/>
        <v>1</v>
      </c>
      <c r="AX56" s="43">
        <f t="shared" si="40"/>
        <v>1</v>
      </c>
      <c r="AY56" s="43">
        <f t="shared" si="40"/>
        <v>1</v>
      </c>
      <c r="AZ56" s="43">
        <f t="shared" si="40"/>
        <v>1</v>
      </c>
      <c r="BA56" s="43">
        <f t="shared" si="40"/>
        <v>1</v>
      </c>
      <c r="BB56" s="43">
        <f t="shared" si="40"/>
        <v>1</v>
      </c>
      <c r="BC56" s="43">
        <f t="shared" si="40"/>
        <v>1</v>
      </c>
      <c r="BD56" s="43">
        <f t="shared" si="40"/>
        <v>1</v>
      </c>
      <c r="BE56" s="43">
        <f t="shared" si="40"/>
        <v>1</v>
      </c>
      <c r="BF56" s="43">
        <f t="shared" si="41"/>
        <v>1</v>
      </c>
      <c r="BG56" s="43">
        <f t="shared" si="41"/>
        <v>1</v>
      </c>
      <c r="BH56" s="43">
        <f t="shared" si="41"/>
        <v>1</v>
      </c>
      <c r="BI56" s="43">
        <f t="shared" si="41"/>
        <v>1</v>
      </c>
      <c r="BJ56" s="43">
        <f t="shared" si="41"/>
        <v>1</v>
      </c>
      <c r="BK56" s="43">
        <f t="shared" si="41"/>
        <v>1</v>
      </c>
      <c r="BL56" s="43">
        <f t="shared" si="41"/>
        <v>1</v>
      </c>
      <c r="BM56" s="43">
        <f t="shared" si="41"/>
        <v>1</v>
      </c>
      <c r="BN56" s="43">
        <f t="shared" si="41"/>
        <v>1</v>
      </c>
      <c r="BO56" s="43">
        <f t="shared" si="41"/>
        <v>1</v>
      </c>
      <c r="BP56" s="43">
        <f t="shared" si="42"/>
        <v>1</v>
      </c>
      <c r="BQ56" s="43">
        <f t="shared" si="42"/>
        <v>1</v>
      </c>
      <c r="BR56" s="43">
        <f t="shared" si="42"/>
        <v>0</v>
      </c>
      <c r="BS56" s="43">
        <f t="shared" si="42"/>
        <v>0</v>
      </c>
      <c r="BT56" s="43">
        <f t="shared" si="42"/>
        <v>0</v>
      </c>
      <c r="BU56" s="43">
        <f t="shared" si="42"/>
        <v>0</v>
      </c>
      <c r="BV56" s="43">
        <f t="shared" si="42"/>
        <v>0</v>
      </c>
      <c r="BW56" s="43">
        <f t="shared" si="42"/>
        <v>0</v>
      </c>
      <c r="BX56" s="43">
        <f t="shared" si="42"/>
        <v>0</v>
      </c>
      <c r="BY56" s="43">
        <f t="shared" si="42"/>
        <v>0</v>
      </c>
      <c r="BZ56" s="43">
        <f t="shared" si="42"/>
        <v>0</v>
      </c>
      <c r="CA56" s="43">
        <f t="shared" si="42"/>
        <v>0</v>
      </c>
    </row>
    <row r="57" spans="1:79" x14ac:dyDescent="0.25">
      <c r="A57" s="35">
        <v>40</v>
      </c>
      <c r="B57" s="8"/>
      <c r="C57" s="8"/>
      <c r="D57" s="8"/>
      <c r="E57" s="7"/>
      <c r="F57" s="49"/>
      <c r="G57" s="5"/>
      <c r="H57" s="10">
        <f t="shared" si="8"/>
        <v>0</v>
      </c>
      <c r="I57" s="49" t="e">
        <f>VLOOKUP(B57,База!$B$8:$I$52,3,FALSE)*60</f>
        <v>#N/A</v>
      </c>
      <c r="J57" s="35" t="e">
        <f>VLOOKUP(B57,База!$B$8:$I$52,7,FALSE)*I57</f>
        <v>#N/A</v>
      </c>
      <c r="K57" s="35" t="e">
        <f>VLOOKUP(B57,База!$B$8:$I$52,6,FALSE)</f>
        <v>#N/A</v>
      </c>
      <c r="L57" s="35" t="e">
        <f t="shared" si="35"/>
        <v>#N/A</v>
      </c>
      <c r="M57" s="9">
        <f t="shared" si="36"/>
        <v>0</v>
      </c>
      <c r="N57" s="53">
        <f t="shared" si="13"/>
        <v>612.23658315042314</v>
      </c>
      <c r="O57" s="53">
        <f t="shared" si="14"/>
        <v>612.23658315042314</v>
      </c>
      <c r="P57" s="53">
        <f t="shared" si="15"/>
        <v>0</v>
      </c>
      <c r="Q57" s="53">
        <f t="shared" si="16"/>
        <v>612.23658315042314</v>
      </c>
      <c r="R57" s="43">
        <f t="shared" si="37"/>
        <v>1</v>
      </c>
      <c r="S57" s="43">
        <f t="shared" si="37"/>
        <v>1</v>
      </c>
      <c r="T57" s="43">
        <f t="shared" si="37"/>
        <v>1</v>
      </c>
      <c r="U57" s="43">
        <f t="shared" si="37"/>
        <v>1</v>
      </c>
      <c r="V57" s="43">
        <f t="shared" si="37"/>
        <v>1</v>
      </c>
      <c r="W57" s="43">
        <f t="shared" si="37"/>
        <v>1</v>
      </c>
      <c r="X57" s="43">
        <f t="shared" si="37"/>
        <v>1</v>
      </c>
      <c r="Y57" s="43">
        <f t="shared" si="37"/>
        <v>1</v>
      </c>
      <c r="Z57" s="43">
        <f t="shared" si="37"/>
        <v>1</v>
      </c>
      <c r="AA57" s="43">
        <f t="shared" si="37"/>
        <v>1</v>
      </c>
      <c r="AB57" s="43">
        <f t="shared" si="38"/>
        <v>1</v>
      </c>
      <c r="AC57" s="43">
        <f t="shared" si="38"/>
        <v>1</v>
      </c>
      <c r="AD57" s="43">
        <f t="shared" si="38"/>
        <v>1</v>
      </c>
      <c r="AE57" s="43">
        <f t="shared" si="38"/>
        <v>1</v>
      </c>
      <c r="AF57" s="43">
        <f t="shared" si="38"/>
        <v>1</v>
      </c>
      <c r="AG57" s="43">
        <f t="shared" si="38"/>
        <v>1</v>
      </c>
      <c r="AH57" s="43">
        <f t="shared" si="38"/>
        <v>1</v>
      </c>
      <c r="AI57" s="43">
        <f t="shared" si="38"/>
        <v>1</v>
      </c>
      <c r="AJ57" s="43">
        <f t="shared" si="38"/>
        <v>1</v>
      </c>
      <c r="AK57" s="43">
        <f t="shared" si="38"/>
        <v>1</v>
      </c>
      <c r="AL57" s="43">
        <f t="shared" si="39"/>
        <v>1</v>
      </c>
      <c r="AM57" s="43">
        <f t="shared" si="39"/>
        <v>1</v>
      </c>
      <c r="AN57" s="43">
        <f t="shared" si="39"/>
        <v>1</v>
      </c>
      <c r="AO57" s="43">
        <f t="shared" si="39"/>
        <v>1</v>
      </c>
      <c r="AP57" s="43">
        <f t="shared" si="39"/>
        <v>1</v>
      </c>
      <c r="AQ57" s="43">
        <f t="shared" si="39"/>
        <v>1</v>
      </c>
      <c r="AR57" s="43">
        <f t="shared" si="39"/>
        <v>1</v>
      </c>
      <c r="AS57" s="43">
        <f t="shared" si="39"/>
        <v>1</v>
      </c>
      <c r="AT57" s="43">
        <f t="shared" si="39"/>
        <v>1</v>
      </c>
      <c r="AU57" s="43">
        <f t="shared" si="39"/>
        <v>1</v>
      </c>
      <c r="AV57" s="43">
        <f t="shared" si="40"/>
        <v>1</v>
      </c>
      <c r="AW57" s="43">
        <f t="shared" si="40"/>
        <v>1</v>
      </c>
      <c r="AX57" s="43">
        <f t="shared" si="40"/>
        <v>1</v>
      </c>
      <c r="AY57" s="43">
        <f t="shared" si="40"/>
        <v>1</v>
      </c>
      <c r="AZ57" s="43">
        <f t="shared" si="40"/>
        <v>1</v>
      </c>
      <c r="BA57" s="43">
        <f t="shared" si="40"/>
        <v>1</v>
      </c>
      <c r="BB57" s="43">
        <f t="shared" si="40"/>
        <v>1</v>
      </c>
      <c r="BC57" s="43">
        <f t="shared" si="40"/>
        <v>1</v>
      </c>
      <c r="BD57" s="43">
        <f t="shared" si="40"/>
        <v>1</v>
      </c>
      <c r="BE57" s="43">
        <f t="shared" si="40"/>
        <v>1</v>
      </c>
      <c r="BF57" s="43">
        <f t="shared" si="41"/>
        <v>1</v>
      </c>
      <c r="BG57" s="43">
        <f t="shared" si="41"/>
        <v>1</v>
      </c>
      <c r="BH57" s="43">
        <f t="shared" si="41"/>
        <v>1</v>
      </c>
      <c r="BI57" s="43">
        <f t="shared" si="41"/>
        <v>1</v>
      </c>
      <c r="BJ57" s="43">
        <f t="shared" si="41"/>
        <v>1</v>
      </c>
      <c r="BK57" s="43">
        <f t="shared" si="41"/>
        <v>1</v>
      </c>
      <c r="BL57" s="43">
        <f t="shared" si="41"/>
        <v>1</v>
      </c>
      <c r="BM57" s="43">
        <f t="shared" si="41"/>
        <v>1</v>
      </c>
      <c r="BN57" s="43">
        <f t="shared" si="41"/>
        <v>1</v>
      </c>
      <c r="BO57" s="43">
        <f t="shared" si="41"/>
        <v>1</v>
      </c>
      <c r="BP57" s="43">
        <f t="shared" si="42"/>
        <v>1</v>
      </c>
      <c r="BQ57" s="43">
        <f t="shared" si="42"/>
        <v>1</v>
      </c>
      <c r="BR57" s="43">
        <f t="shared" si="42"/>
        <v>0</v>
      </c>
      <c r="BS57" s="43">
        <f t="shared" si="42"/>
        <v>0</v>
      </c>
      <c r="BT57" s="43">
        <f t="shared" si="42"/>
        <v>0</v>
      </c>
      <c r="BU57" s="43">
        <f t="shared" si="42"/>
        <v>0</v>
      </c>
      <c r="BV57" s="43">
        <f t="shared" si="42"/>
        <v>0</v>
      </c>
      <c r="BW57" s="43">
        <f t="shared" si="42"/>
        <v>0</v>
      </c>
      <c r="BX57" s="43">
        <f t="shared" si="42"/>
        <v>0</v>
      </c>
      <c r="BY57" s="43">
        <f t="shared" si="42"/>
        <v>0</v>
      </c>
      <c r="BZ57" s="43">
        <f t="shared" si="42"/>
        <v>0</v>
      </c>
      <c r="CA57" s="43">
        <f t="shared" si="42"/>
        <v>0</v>
      </c>
    </row>
    <row r="58" spans="1:79" x14ac:dyDescent="0.25">
      <c r="A58" s="35">
        <v>41</v>
      </c>
      <c r="B58" s="8"/>
      <c r="C58" s="8"/>
      <c r="D58" s="8"/>
      <c r="E58" s="7"/>
      <c r="F58" s="49"/>
      <c r="G58" s="5"/>
      <c r="H58" s="10">
        <f t="shared" si="8"/>
        <v>0</v>
      </c>
      <c r="I58" s="49" t="e">
        <f>VLOOKUP(B58,База!$B$8:$I$52,3,FALSE)*60</f>
        <v>#N/A</v>
      </c>
      <c r="J58" s="35" t="e">
        <f>VLOOKUP(B58,База!$B$8:$I$52,7,FALSE)*I58</f>
        <v>#N/A</v>
      </c>
      <c r="K58" s="35" t="e">
        <f>VLOOKUP(B58,База!$B$8:$I$52,6,FALSE)</f>
        <v>#N/A</v>
      </c>
      <c r="L58" s="35" t="e">
        <f t="shared" si="35"/>
        <v>#N/A</v>
      </c>
      <c r="M58" s="9">
        <f t="shared" si="36"/>
        <v>0</v>
      </c>
      <c r="N58" s="53">
        <f t="shared" si="13"/>
        <v>612.23658315042314</v>
      </c>
      <c r="O58" s="53">
        <f t="shared" si="14"/>
        <v>612.23658315042314</v>
      </c>
      <c r="P58" s="53">
        <f t="shared" si="15"/>
        <v>0</v>
      </c>
      <c r="Q58" s="53">
        <f t="shared" si="16"/>
        <v>612.23658315042314</v>
      </c>
      <c r="R58" s="43">
        <f t="shared" si="37"/>
        <v>1</v>
      </c>
      <c r="S58" s="43">
        <f t="shared" si="37"/>
        <v>1</v>
      </c>
      <c r="T58" s="43">
        <f t="shared" si="37"/>
        <v>1</v>
      </c>
      <c r="U58" s="43">
        <f t="shared" si="37"/>
        <v>1</v>
      </c>
      <c r="V58" s="43">
        <f t="shared" si="37"/>
        <v>1</v>
      </c>
      <c r="W58" s="43">
        <f t="shared" si="37"/>
        <v>1</v>
      </c>
      <c r="X58" s="43">
        <f t="shared" si="37"/>
        <v>1</v>
      </c>
      <c r="Y58" s="43">
        <f t="shared" si="37"/>
        <v>1</v>
      </c>
      <c r="Z58" s="43">
        <f t="shared" si="37"/>
        <v>1</v>
      </c>
      <c r="AA58" s="43">
        <f t="shared" si="37"/>
        <v>1</v>
      </c>
      <c r="AB58" s="43">
        <f t="shared" si="38"/>
        <v>1</v>
      </c>
      <c r="AC58" s="43">
        <f t="shared" si="38"/>
        <v>1</v>
      </c>
      <c r="AD58" s="43">
        <f t="shared" si="38"/>
        <v>1</v>
      </c>
      <c r="AE58" s="43">
        <f t="shared" si="38"/>
        <v>1</v>
      </c>
      <c r="AF58" s="43">
        <f t="shared" si="38"/>
        <v>1</v>
      </c>
      <c r="AG58" s="43">
        <f t="shared" si="38"/>
        <v>1</v>
      </c>
      <c r="AH58" s="43">
        <f t="shared" si="38"/>
        <v>1</v>
      </c>
      <c r="AI58" s="43">
        <f t="shared" si="38"/>
        <v>1</v>
      </c>
      <c r="AJ58" s="43">
        <f t="shared" si="38"/>
        <v>1</v>
      </c>
      <c r="AK58" s="43">
        <f t="shared" si="38"/>
        <v>1</v>
      </c>
      <c r="AL58" s="43">
        <f t="shared" si="39"/>
        <v>1</v>
      </c>
      <c r="AM58" s="43">
        <f t="shared" si="39"/>
        <v>1</v>
      </c>
      <c r="AN58" s="43">
        <f t="shared" si="39"/>
        <v>1</v>
      </c>
      <c r="AO58" s="43">
        <f t="shared" si="39"/>
        <v>1</v>
      </c>
      <c r="AP58" s="43">
        <f t="shared" si="39"/>
        <v>1</v>
      </c>
      <c r="AQ58" s="43">
        <f t="shared" si="39"/>
        <v>1</v>
      </c>
      <c r="AR58" s="43">
        <f t="shared" si="39"/>
        <v>1</v>
      </c>
      <c r="AS58" s="43">
        <f t="shared" si="39"/>
        <v>1</v>
      </c>
      <c r="AT58" s="43">
        <f t="shared" si="39"/>
        <v>1</v>
      </c>
      <c r="AU58" s="43">
        <f t="shared" si="39"/>
        <v>1</v>
      </c>
      <c r="AV58" s="43">
        <f t="shared" si="40"/>
        <v>1</v>
      </c>
      <c r="AW58" s="43">
        <f t="shared" si="40"/>
        <v>1</v>
      </c>
      <c r="AX58" s="43">
        <f t="shared" si="40"/>
        <v>1</v>
      </c>
      <c r="AY58" s="43">
        <f t="shared" si="40"/>
        <v>1</v>
      </c>
      <c r="AZ58" s="43">
        <f t="shared" si="40"/>
        <v>1</v>
      </c>
      <c r="BA58" s="43">
        <f t="shared" si="40"/>
        <v>1</v>
      </c>
      <c r="BB58" s="43">
        <f t="shared" si="40"/>
        <v>1</v>
      </c>
      <c r="BC58" s="43">
        <f t="shared" si="40"/>
        <v>1</v>
      </c>
      <c r="BD58" s="43">
        <f t="shared" si="40"/>
        <v>1</v>
      </c>
      <c r="BE58" s="43">
        <f t="shared" si="40"/>
        <v>1</v>
      </c>
      <c r="BF58" s="43">
        <f t="shared" si="41"/>
        <v>1</v>
      </c>
      <c r="BG58" s="43">
        <f t="shared" si="41"/>
        <v>1</v>
      </c>
      <c r="BH58" s="43">
        <f t="shared" si="41"/>
        <v>1</v>
      </c>
      <c r="BI58" s="43">
        <f t="shared" si="41"/>
        <v>1</v>
      </c>
      <c r="BJ58" s="43">
        <f t="shared" si="41"/>
        <v>1</v>
      </c>
      <c r="BK58" s="43">
        <f t="shared" si="41"/>
        <v>1</v>
      </c>
      <c r="BL58" s="43">
        <f t="shared" si="41"/>
        <v>1</v>
      </c>
      <c r="BM58" s="43">
        <f t="shared" si="41"/>
        <v>1</v>
      </c>
      <c r="BN58" s="43">
        <f t="shared" si="41"/>
        <v>1</v>
      </c>
      <c r="BO58" s="43">
        <f t="shared" si="41"/>
        <v>1</v>
      </c>
      <c r="BP58" s="43">
        <f t="shared" si="42"/>
        <v>1</v>
      </c>
      <c r="BQ58" s="43">
        <f t="shared" si="42"/>
        <v>1</v>
      </c>
      <c r="BR58" s="43">
        <f t="shared" si="42"/>
        <v>0</v>
      </c>
      <c r="BS58" s="43">
        <f t="shared" si="42"/>
        <v>0</v>
      </c>
      <c r="BT58" s="43">
        <f t="shared" si="42"/>
        <v>0</v>
      </c>
      <c r="BU58" s="43">
        <f t="shared" si="42"/>
        <v>0</v>
      </c>
      <c r="BV58" s="43">
        <f t="shared" si="42"/>
        <v>0</v>
      </c>
      <c r="BW58" s="43">
        <f t="shared" si="42"/>
        <v>0</v>
      </c>
      <c r="BX58" s="43">
        <f t="shared" si="42"/>
        <v>0</v>
      </c>
      <c r="BY58" s="43">
        <f t="shared" si="42"/>
        <v>0</v>
      </c>
      <c r="BZ58" s="43">
        <f t="shared" si="42"/>
        <v>0</v>
      </c>
      <c r="CA58" s="43">
        <f t="shared" si="42"/>
        <v>0</v>
      </c>
    </row>
    <row r="59" spans="1:79" x14ac:dyDescent="0.25">
      <c r="A59" s="35">
        <v>42</v>
      </c>
      <c r="B59" s="8"/>
      <c r="C59" s="8"/>
      <c r="D59" s="8"/>
      <c r="E59" s="7"/>
      <c r="F59" s="49"/>
      <c r="G59" s="5"/>
      <c r="H59" s="10">
        <f t="shared" si="8"/>
        <v>0</v>
      </c>
      <c r="I59" s="49" t="e">
        <f>VLOOKUP(B59,База!$B$8:$I$52,3,FALSE)*60</f>
        <v>#N/A</v>
      </c>
      <c r="J59" s="35" t="e">
        <f>VLOOKUP(B59,База!$B$8:$I$52,7,FALSE)*I59</f>
        <v>#N/A</v>
      </c>
      <c r="K59" s="35" t="e">
        <f>VLOOKUP(B59,База!$B$8:$I$52,6,FALSE)</f>
        <v>#N/A</v>
      </c>
      <c r="L59" s="35" t="e">
        <f t="shared" si="35"/>
        <v>#N/A</v>
      </c>
      <c r="M59" s="9">
        <f t="shared" si="36"/>
        <v>0</v>
      </c>
      <c r="N59" s="53">
        <f t="shared" si="13"/>
        <v>612.23658315042314</v>
      </c>
      <c r="O59" s="53">
        <f t="shared" si="14"/>
        <v>612.23658315042314</v>
      </c>
      <c r="P59" s="53">
        <f t="shared" si="15"/>
        <v>0</v>
      </c>
      <c r="Q59" s="53">
        <f t="shared" si="16"/>
        <v>612.23658315042314</v>
      </c>
      <c r="R59" s="43">
        <f t="shared" si="37"/>
        <v>1</v>
      </c>
      <c r="S59" s="43">
        <f t="shared" si="37"/>
        <v>1</v>
      </c>
      <c r="T59" s="43">
        <f t="shared" si="37"/>
        <v>1</v>
      </c>
      <c r="U59" s="43">
        <f t="shared" si="37"/>
        <v>1</v>
      </c>
      <c r="V59" s="43">
        <f t="shared" si="37"/>
        <v>1</v>
      </c>
      <c r="W59" s="43">
        <f t="shared" si="37"/>
        <v>1</v>
      </c>
      <c r="X59" s="43">
        <f t="shared" si="37"/>
        <v>1</v>
      </c>
      <c r="Y59" s="43">
        <f t="shared" si="37"/>
        <v>1</v>
      </c>
      <c r="Z59" s="43">
        <f t="shared" si="37"/>
        <v>1</v>
      </c>
      <c r="AA59" s="43">
        <f t="shared" si="37"/>
        <v>1</v>
      </c>
      <c r="AB59" s="43">
        <f t="shared" si="38"/>
        <v>1</v>
      </c>
      <c r="AC59" s="43">
        <f t="shared" si="38"/>
        <v>1</v>
      </c>
      <c r="AD59" s="43">
        <f t="shared" si="38"/>
        <v>1</v>
      </c>
      <c r="AE59" s="43">
        <f t="shared" si="38"/>
        <v>1</v>
      </c>
      <c r="AF59" s="43">
        <f t="shared" si="38"/>
        <v>1</v>
      </c>
      <c r="AG59" s="43">
        <f t="shared" si="38"/>
        <v>1</v>
      </c>
      <c r="AH59" s="43">
        <f t="shared" si="38"/>
        <v>1</v>
      </c>
      <c r="AI59" s="43">
        <f t="shared" si="38"/>
        <v>1</v>
      </c>
      <c r="AJ59" s="43">
        <f t="shared" si="38"/>
        <v>1</v>
      </c>
      <c r="AK59" s="43">
        <f t="shared" si="38"/>
        <v>1</v>
      </c>
      <c r="AL59" s="43">
        <f t="shared" si="39"/>
        <v>1</v>
      </c>
      <c r="AM59" s="43">
        <f t="shared" si="39"/>
        <v>1</v>
      </c>
      <c r="AN59" s="43">
        <f t="shared" si="39"/>
        <v>1</v>
      </c>
      <c r="AO59" s="43">
        <f t="shared" si="39"/>
        <v>1</v>
      </c>
      <c r="AP59" s="43">
        <f t="shared" si="39"/>
        <v>1</v>
      </c>
      <c r="AQ59" s="43">
        <f t="shared" si="39"/>
        <v>1</v>
      </c>
      <c r="AR59" s="43">
        <f t="shared" si="39"/>
        <v>1</v>
      </c>
      <c r="AS59" s="43">
        <f t="shared" si="39"/>
        <v>1</v>
      </c>
      <c r="AT59" s="43">
        <f t="shared" si="39"/>
        <v>1</v>
      </c>
      <c r="AU59" s="43">
        <f t="shared" si="39"/>
        <v>1</v>
      </c>
      <c r="AV59" s="43">
        <f t="shared" si="40"/>
        <v>1</v>
      </c>
      <c r="AW59" s="43">
        <f t="shared" si="40"/>
        <v>1</v>
      </c>
      <c r="AX59" s="43">
        <f t="shared" si="40"/>
        <v>1</v>
      </c>
      <c r="AY59" s="43">
        <f t="shared" si="40"/>
        <v>1</v>
      </c>
      <c r="AZ59" s="43">
        <f t="shared" si="40"/>
        <v>1</v>
      </c>
      <c r="BA59" s="43">
        <f t="shared" si="40"/>
        <v>1</v>
      </c>
      <c r="BB59" s="43">
        <f t="shared" si="40"/>
        <v>1</v>
      </c>
      <c r="BC59" s="43">
        <f t="shared" si="40"/>
        <v>1</v>
      </c>
      <c r="BD59" s="43">
        <f t="shared" si="40"/>
        <v>1</v>
      </c>
      <c r="BE59" s="43">
        <f t="shared" si="40"/>
        <v>1</v>
      </c>
      <c r="BF59" s="43">
        <f t="shared" si="41"/>
        <v>1</v>
      </c>
      <c r="BG59" s="43">
        <f t="shared" si="41"/>
        <v>1</v>
      </c>
      <c r="BH59" s="43">
        <f t="shared" si="41"/>
        <v>1</v>
      </c>
      <c r="BI59" s="43">
        <f t="shared" si="41"/>
        <v>1</v>
      </c>
      <c r="BJ59" s="43">
        <f t="shared" si="41"/>
        <v>1</v>
      </c>
      <c r="BK59" s="43">
        <f t="shared" si="41"/>
        <v>1</v>
      </c>
      <c r="BL59" s="43">
        <f t="shared" si="41"/>
        <v>1</v>
      </c>
      <c r="BM59" s="43">
        <f t="shared" si="41"/>
        <v>1</v>
      </c>
      <c r="BN59" s="43">
        <f t="shared" si="41"/>
        <v>1</v>
      </c>
      <c r="BO59" s="43">
        <f t="shared" si="41"/>
        <v>1</v>
      </c>
      <c r="BP59" s="43">
        <f t="shared" si="42"/>
        <v>1</v>
      </c>
      <c r="BQ59" s="43">
        <f t="shared" si="42"/>
        <v>1</v>
      </c>
      <c r="BR59" s="43">
        <f t="shared" si="42"/>
        <v>0</v>
      </c>
      <c r="BS59" s="43">
        <f t="shared" si="42"/>
        <v>0</v>
      </c>
      <c r="BT59" s="43">
        <f t="shared" si="42"/>
        <v>0</v>
      </c>
      <c r="BU59" s="43">
        <f t="shared" si="42"/>
        <v>0</v>
      </c>
      <c r="BV59" s="43">
        <f t="shared" si="42"/>
        <v>0</v>
      </c>
      <c r="BW59" s="43">
        <f t="shared" si="42"/>
        <v>0</v>
      </c>
      <c r="BX59" s="43">
        <f t="shared" si="42"/>
        <v>0</v>
      </c>
      <c r="BY59" s="43">
        <f t="shared" si="42"/>
        <v>0</v>
      </c>
      <c r="BZ59" s="43">
        <f t="shared" si="42"/>
        <v>0</v>
      </c>
      <c r="CA59" s="43">
        <f t="shared" si="42"/>
        <v>0</v>
      </c>
    </row>
    <row r="60" spans="1:79" x14ac:dyDescent="0.25">
      <c r="A60" s="35">
        <v>43</v>
      </c>
      <c r="B60" s="8"/>
      <c r="C60" s="8"/>
      <c r="D60" s="8"/>
      <c r="E60" s="7"/>
      <c r="F60" s="49"/>
      <c r="G60" s="5"/>
      <c r="H60" s="10">
        <f t="shared" si="8"/>
        <v>0</v>
      </c>
      <c r="I60" s="49" t="e">
        <f>VLOOKUP(B60,База!$B$8:$I$52,3,FALSE)*60</f>
        <v>#N/A</v>
      </c>
      <c r="J60" s="35" t="e">
        <f>VLOOKUP(B60,База!$B$8:$I$52,7,FALSE)*I60</f>
        <v>#N/A</v>
      </c>
      <c r="K60" s="35" t="e">
        <f>VLOOKUP(B60,База!$B$8:$I$52,6,FALSE)</f>
        <v>#N/A</v>
      </c>
      <c r="L60" s="35" t="e">
        <f t="shared" si="35"/>
        <v>#N/A</v>
      </c>
      <c r="M60" s="9">
        <f t="shared" si="36"/>
        <v>0</v>
      </c>
      <c r="N60" s="53">
        <f t="shared" si="13"/>
        <v>612.23658315042314</v>
      </c>
      <c r="O60" s="53">
        <f t="shared" si="14"/>
        <v>612.23658315042314</v>
      </c>
      <c r="P60" s="53">
        <f t="shared" si="15"/>
        <v>0</v>
      </c>
      <c r="Q60" s="53">
        <f t="shared" si="16"/>
        <v>612.23658315042314</v>
      </c>
      <c r="R60" s="43">
        <f t="shared" si="37"/>
        <v>1</v>
      </c>
      <c r="S60" s="43">
        <f t="shared" si="37"/>
        <v>1</v>
      </c>
      <c r="T60" s="43">
        <f t="shared" si="37"/>
        <v>1</v>
      </c>
      <c r="U60" s="43">
        <f t="shared" si="37"/>
        <v>1</v>
      </c>
      <c r="V60" s="43">
        <f t="shared" si="37"/>
        <v>1</v>
      </c>
      <c r="W60" s="43">
        <f t="shared" si="37"/>
        <v>1</v>
      </c>
      <c r="X60" s="43">
        <f t="shared" si="37"/>
        <v>1</v>
      </c>
      <c r="Y60" s="43">
        <f t="shared" si="37"/>
        <v>1</v>
      </c>
      <c r="Z60" s="43">
        <f t="shared" si="37"/>
        <v>1</v>
      </c>
      <c r="AA60" s="43">
        <f t="shared" si="37"/>
        <v>1</v>
      </c>
      <c r="AB60" s="43">
        <f t="shared" si="38"/>
        <v>1</v>
      </c>
      <c r="AC60" s="43">
        <f t="shared" si="38"/>
        <v>1</v>
      </c>
      <c r="AD60" s="43">
        <f t="shared" si="38"/>
        <v>1</v>
      </c>
      <c r="AE60" s="43">
        <f t="shared" si="38"/>
        <v>1</v>
      </c>
      <c r="AF60" s="43">
        <f t="shared" si="38"/>
        <v>1</v>
      </c>
      <c r="AG60" s="43">
        <f t="shared" si="38"/>
        <v>1</v>
      </c>
      <c r="AH60" s="43">
        <f t="shared" si="38"/>
        <v>1</v>
      </c>
      <c r="AI60" s="43">
        <f t="shared" si="38"/>
        <v>1</v>
      </c>
      <c r="AJ60" s="43">
        <f t="shared" si="38"/>
        <v>1</v>
      </c>
      <c r="AK60" s="43">
        <f t="shared" si="38"/>
        <v>1</v>
      </c>
      <c r="AL60" s="43">
        <f t="shared" si="39"/>
        <v>1</v>
      </c>
      <c r="AM60" s="43">
        <f t="shared" si="39"/>
        <v>1</v>
      </c>
      <c r="AN60" s="43">
        <f t="shared" si="39"/>
        <v>1</v>
      </c>
      <c r="AO60" s="43">
        <f t="shared" si="39"/>
        <v>1</v>
      </c>
      <c r="AP60" s="43">
        <f t="shared" si="39"/>
        <v>1</v>
      </c>
      <c r="AQ60" s="43">
        <f t="shared" si="39"/>
        <v>1</v>
      </c>
      <c r="AR60" s="43">
        <f t="shared" si="39"/>
        <v>1</v>
      </c>
      <c r="AS60" s="43">
        <f t="shared" si="39"/>
        <v>1</v>
      </c>
      <c r="AT60" s="43">
        <f t="shared" si="39"/>
        <v>1</v>
      </c>
      <c r="AU60" s="43">
        <f t="shared" si="39"/>
        <v>1</v>
      </c>
      <c r="AV60" s="43">
        <f t="shared" si="40"/>
        <v>1</v>
      </c>
      <c r="AW60" s="43">
        <f t="shared" si="40"/>
        <v>1</v>
      </c>
      <c r="AX60" s="43">
        <f t="shared" si="40"/>
        <v>1</v>
      </c>
      <c r="AY60" s="43">
        <f t="shared" si="40"/>
        <v>1</v>
      </c>
      <c r="AZ60" s="43">
        <f t="shared" si="40"/>
        <v>1</v>
      </c>
      <c r="BA60" s="43">
        <f t="shared" si="40"/>
        <v>1</v>
      </c>
      <c r="BB60" s="43">
        <f t="shared" si="40"/>
        <v>1</v>
      </c>
      <c r="BC60" s="43">
        <f t="shared" si="40"/>
        <v>1</v>
      </c>
      <c r="BD60" s="43">
        <f t="shared" si="40"/>
        <v>1</v>
      </c>
      <c r="BE60" s="43">
        <f t="shared" si="40"/>
        <v>1</v>
      </c>
      <c r="BF60" s="43">
        <f t="shared" si="41"/>
        <v>1</v>
      </c>
      <c r="BG60" s="43">
        <f t="shared" si="41"/>
        <v>1</v>
      </c>
      <c r="BH60" s="43">
        <f t="shared" si="41"/>
        <v>1</v>
      </c>
      <c r="BI60" s="43">
        <f t="shared" si="41"/>
        <v>1</v>
      </c>
      <c r="BJ60" s="43">
        <f t="shared" si="41"/>
        <v>1</v>
      </c>
      <c r="BK60" s="43">
        <f t="shared" si="41"/>
        <v>1</v>
      </c>
      <c r="BL60" s="43">
        <f t="shared" si="41"/>
        <v>1</v>
      </c>
      <c r="BM60" s="43">
        <f t="shared" si="41"/>
        <v>1</v>
      </c>
      <c r="BN60" s="43">
        <f t="shared" si="41"/>
        <v>1</v>
      </c>
      <c r="BO60" s="43">
        <f t="shared" si="41"/>
        <v>1</v>
      </c>
      <c r="BP60" s="43">
        <f t="shared" si="42"/>
        <v>1</v>
      </c>
      <c r="BQ60" s="43">
        <f t="shared" si="42"/>
        <v>1</v>
      </c>
      <c r="BR60" s="43">
        <f t="shared" si="42"/>
        <v>0</v>
      </c>
      <c r="BS60" s="43">
        <f t="shared" si="42"/>
        <v>0</v>
      </c>
      <c r="BT60" s="43">
        <f t="shared" si="42"/>
        <v>0</v>
      </c>
      <c r="BU60" s="43">
        <f t="shared" si="42"/>
        <v>0</v>
      </c>
      <c r="BV60" s="43">
        <f t="shared" si="42"/>
        <v>0</v>
      </c>
      <c r="BW60" s="43">
        <f t="shared" si="42"/>
        <v>0</v>
      </c>
      <c r="BX60" s="43">
        <f t="shared" si="42"/>
        <v>0</v>
      </c>
      <c r="BY60" s="43">
        <f t="shared" si="42"/>
        <v>0</v>
      </c>
      <c r="BZ60" s="43">
        <f t="shared" si="42"/>
        <v>0</v>
      </c>
      <c r="CA60" s="43">
        <f t="shared" si="42"/>
        <v>0</v>
      </c>
    </row>
    <row r="61" spans="1:79" x14ac:dyDescent="0.25">
      <c r="A61" s="35">
        <v>44</v>
      </c>
      <c r="B61" s="8"/>
      <c r="C61" s="8"/>
      <c r="D61" s="8"/>
      <c r="E61" s="7"/>
      <c r="F61" s="49"/>
      <c r="G61" s="5"/>
      <c r="H61" s="10">
        <f t="shared" si="8"/>
        <v>0</v>
      </c>
      <c r="I61" s="49" t="e">
        <f>VLOOKUP(B61,База!$B$8:$I$52,3,FALSE)*60</f>
        <v>#N/A</v>
      </c>
      <c r="J61" s="35" t="e">
        <f>VLOOKUP(B61,База!$B$8:$I$52,7,FALSE)*I61</f>
        <v>#N/A</v>
      </c>
      <c r="K61" s="35" t="e">
        <f>VLOOKUP(B61,База!$B$8:$I$52,6,FALSE)</f>
        <v>#N/A</v>
      </c>
      <c r="L61" s="35" t="e">
        <f t="shared" si="35"/>
        <v>#N/A</v>
      </c>
      <c r="M61" s="9">
        <f t="shared" si="36"/>
        <v>0</v>
      </c>
      <c r="N61" s="53">
        <f t="shared" si="13"/>
        <v>612.23658315042314</v>
      </c>
      <c r="O61" s="53">
        <f t="shared" si="14"/>
        <v>612.23658315042314</v>
      </c>
      <c r="P61" s="53">
        <f t="shared" si="15"/>
        <v>0</v>
      </c>
      <c r="Q61" s="53">
        <f t="shared" si="16"/>
        <v>612.23658315042314</v>
      </c>
      <c r="R61" s="43">
        <f t="shared" si="37"/>
        <v>1</v>
      </c>
      <c r="S61" s="43">
        <f t="shared" si="37"/>
        <v>1</v>
      </c>
      <c r="T61" s="43">
        <f t="shared" si="37"/>
        <v>1</v>
      </c>
      <c r="U61" s="43">
        <f t="shared" si="37"/>
        <v>1</v>
      </c>
      <c r="V61" s="43">
        <f t="shared" si="37"/>
        <v>1</v>
      </c>
      <c r="W61" s="43">
        <f t="shared" si="37"/>
        <v>1</v>
      </c>
      <c r="X61" s="43">
        <f t="shared" si="37"/>
        <v>1</v>
      </c>
      <c r="Y61" s="43">
        <f t="shared" si="37"/>
        <v>1</v>
      </c>
      <c r="Z61" s="43">
        <f t="shared" si="37"/>
        <v>1</v>
      </c>
      <c r="AA61" s="43">
        <f t="shared" si="37"/>
        <v>1</v>
      </c>
      <c r="AB61" s="43">
        <f t="shared" si="38"/>
        <v>1</v>
      </c>
      <c r="AC61" s="43">
        <f t="shared" si="38"/>
        <v>1</v>
      </c>
      <c r="AD61" s="43">
        <f t="shared" si="38"/>
        <v>1</v>
      </c>
      <c r="AE61" s="43">
        <f t="shared" si="38"/>
        <v>1</v>
      </c>
      <c r="AF61" s="43">
        <f t="shared" si="38"/>
        <v>1</v>
      </c>
      <c r="AG61" s="43">
        <f t="shared" si="38"/>
        <v>1</v>
      </c>
      <c r="AH61" s="43">
        <f t="shared" si="38"/>
        <v>1</v>
      </c>
      <c r="AI61" s="43">
        <f t="shared" si="38"/>
        <v>1</v>
      </c>
      <c r="AJ61" s="43">
        <f t="shared" si="38"/>
        <v>1</v>
      </c>
      <c r="AK61" s="43">
        <f t="shared" si="38"/>
        <v>1</v>
      </c>
      <c r="AL61" s="43">
        <f t="shared" si="39"/>
        <v>1</v>
      </c>
      <c r="AM61" s="43">
        <f t="shared" si="39"/>
        <v>1</v>
      </c>
      <c r="AN61" s="43">
        <f t="shared" si="39"/>
        <v>1</v>
      </c>
      <c r="AO61" s="43">
        <f t="shared" si="39"/>
        <v>1</v>
      </c>
      <c r="AP61" s="43">
        <f t="shared" si="39"/>
        <v>1</v>
      </c>
      <c r="AQ61" s="43">
        <f t="shared" si="39"/>
        <v>1</v>
      </c>
      <c r="AR61" s="43">
        <f t="shared" si="39"/>
        <v>1</v>
      </c>
      <c r="AS61" s="43">
        <f t="shared" si="39"/>
        <v>1</v>
      </c>
      <c r="AT61" s="43">
        <f t="shared" si="39"/>
        <v>1</v>
      </c>
      <c r="AU61" s="43">
        <f t="shared" si="39"/>
        <v>1</v>
      </c>
      <c r="AV61" s="43">
        <f t="shared" si="40"/>
        <v>1</v>
      </c>
      <c r="AW61" s="43">
        <f t="shared" si="40"/>
        <v>1</v>
      </c>
      <c r="AX61" s="43">
        <f t="shared" si="40"/>
        <v>1</v>
      </c>
      <c r="AY61" s="43">
        <f t="shared" si="40"/>
        <v>1</v>
      </c>
      <c r="AZ61" s="43">
        <f t="shared" si="40"/>
        <v>1</v>
      </c>
      <c r="BA61" s="43">
        <f t="shared" si="40"/>
        <v>1</v>
      </c>
      <c r="BB61" s="43">
        <f t="shared" si="40"/>
        <v>1</v>
      </c>
      <c r="BC61" s="43">
        <f t="shared" si="40"/>
        <v>1</v>
      </c>
      <c r="BD61" s="43">
        <f t="shared" si="40"/>
        <v>1</v>
      </c>
      <c r="BE61" s="43">
        <f t="shared" si="40"/>
        <v>1</v>
      </c>
      <c r="BF61" s="43">
        <f t="shared" si="41"/>
        <v>1</v>
      </c>
      <c r="BG61" s="43">
        <f t="shared" si="41"/>
        <v>1</v>
      </c>
      <c r="BH61" s="43">
        <f t="shared" si="41"/>
        <v>1</v>
      </c>
      <c r="BI61" s="43">
        <f t="shared" si="41"/>
        <v>1</v>
      </c>
      <c r="BJ61" s="43">
        <f t="shared" si="41"/>
        <v>1</v>
      </c>
      <c r="BK61" s="43">
        <f t="shared" si="41"/>
        <v>1</v>
      </c>
      <c r="BL61" s="43">
        <f t="shared" si="41"/>
        <v>1</v>
      </c>
      <c r="BM61" s="43">
        <f t="shared" si="41"/>
        <v>1</v>
      </c>
      <c r="BN61" s="43">
        <f t="shared" si="41"/>
        <v>1</v>
      </c>
      <c r="BO61" s="43">
        <f t="shared" si="41"/>
        <v>1</v>
      </c>
      <c r="BP61" s="43">
        <f t="shared" si="42"/>
        <v>1</v>
      </c>
      <c r="BQ61" s="43">
        <f t="shared" si="42"/>
        <v>1</v>
      </c>
      <c r="BR61" s="43">
        <f t="shared" si="42"/>
        <v>0</v>
      </c>
      <c r="BS61" s="43">
        <f t="shared" si="42"/>
        <v>0</v>
      </c>
      <c r="BT61" s="43">
        <f t="shared" si="42"/>
        <v>0</v>
      </c>
      <c r="BU61" s="43">
        <f t="shared" si="42"/>
        <v>0</v>
      </c>
      <c r="BV61" s="43">
        <f t="shared" si="42"/>
        <v>0</v>
      </c>
      <c r="BW61" s="43">
        <f t="shared" si="42"/>
        <v>0</v>
      </c>
      <c r="BX61" s="43">
        <f t="shared" si="42"/>
        <v>0</v>
      </c>
      <c r="BY61" s="43">
        <f t="shared" si="42"/>
        <v>0</v>
      </c>
      <c r="BZ61" s="43">
        <f t="shared" si="42"/>
        <v>0</v>
      </c>
      <c r="CA61" s="43">
        <f t="shared" si="42"/>
        <v>0</v>
      </c>
    </row>
    <row r="62" spans="1:79" x14ac:dyDescent="0.25">
      <c r="A62" s="35">
        <v>45</v>
      </c>
      <c r="B62" s="8"/>
      <c r="C62" s="8"/>
      <c r="D62" s="8"/>
      <c r="E62" s="7"/>
      <c r="F62" s="49"/>
      <c r="G62" s="5"/>
      <c r="H62" s="10">
        <f t="shared" si="8"/>
        <v>0</v>
      </c>
      <c r="I62" s="49" t="e">
        <f>VLOOKUP(B62,База!$B$8:$I$52,3,FALSE)*60</f>
        <v>#N/A</v>
      </c>
      <c r="J62" s="35" t="e">
        <f>VLOOKUP(B62,База!$B$8:$I$52,7,FALSE)*I62</f>
        <v>#N/A</v>
      </c>
      <c r="K62" s="35" t="e">
        <f>VLOOKUP(B62,База!$B$8:$I$52,6,FALSE)</f>
        <v>#N/A</v>
      </c>
      <c r="L62" s="35" t="e">
        <f t="shared" si="35"/>
        <v>#N/A</v>
      </c>
      <c r="M62" s="9">
        <f t="shared" si="36"/>
        <v>0</v>
      </c>
      <c r="N62" s="53">
        <f t="shared" si="13"/>
        <v>612.23658315042314</v>
      </c>
      <c r="O62" s="53">
        <f t="shared" si="14"/>
        <v>612.23658315042314</v>
      </c>
      <c r="P62" s="53">
        <f t="shared" si="15"/>
        <v>0</v>
      </c>
      <c r="Q62" s="53">
        <f t="shared" si="16"/>
        <v>612.23658315042314</v>
      </c>
      <c r="R62" s="43">
        <f t="shared" ref="R62:AA71" si="43">IF($Q62&gt;R$10,IF($Q62-$P62&lt;=R$10,$L62,1),0)</f>
        <v>1</v>
      </c>
      <c r="S62" s="43">
        <f t="shared" si="43"/>
        <v>1</v>
      </c>
      <c r="T62" s="43">
        <f t="shared" si="43"/>
        <v>1</v>
      </c>
      <c r="U62" s="43">
        <f t="shared" si="43"/>
        <v>1</v>
      </c>
      <c r="V62" s="43">
        <f t="shared" si="43"/>
        <v>1</v>
      </c>
      <c r="W62" s="43">
        <f t="shared" si="43"/>
        <v>1</v>
      </c>
      <c r="X62" s="43">
        <f t="shared" si="43"/>
        <v>1</v>
      </c>
      <c r="Y62" s="43">
        <f t="shared" si="43"/>
        <v>1</v>
      </c>
      <c r="Z62" s="43">
        <f t="shared" si="43"/>
        <v>1</v>
      </c>
      <c r="AA62" s="43">
        <f t="shared" si="43"/>
        <v>1</v>
      </c>
      <c r="AB62" s="43">
        <f t="shared" ref="AB62:AK71" si="44">IF($Q62&gt;AB$10,IF($Q62-$P62&lt;=AB$10,$L62,1),0)</f>
        <v>1</v>
      </c>
      <c r="AC62" s="43">
        <f t="shared" si="44"/>
        <v>1</v>
      </c>
      <c r="AD62" s="43">
        <f t="shared" si="44"/>
        <v>1</v>
      </c>
      <c r="AE62" s="43">
        <f t="shared" si="44"/>
        <v>1</v>
      </c>
      <c r="AF62" s="43">
        <f t="shared" si="44"/>
        <v>1</v>
      </c>
      <c r="AG62" s="43">
        <f t="shared" si="44"/>
        <v>1</v>
      </c>
      <c r="AH62" s="43">
        <f t="shared" si="44"/>
        <v>1</v>
      </c>
      <c r="AI62" s="43">
        <f t="shared" si="44"/>
        <v>1</v>
      </c>
      <c r="AJ62" s="43">
        <f t="shared" si="44"/>
        <v>1</v>
      </c>
      <c r="AK62" s="43">
        <f t="shared" si="44"/>
        <v>1</v>
      </c>
      <c r="AL62" s="43">
        <f t="shared" ref="AL62:AU71" si="45">IF($Q62&gt;AL$10,IF($Q62-$P62&lt;=AL$10,$L62,1),0)</f>
        <v>1</v>
      </c>
      <c r="AM62" s="43">
        <f t="shared" si="45"/>
        <v>1</v>
      </c>
      <c r="AN62" s="43">
        <f t="shared" si="45"/>
        <v>1</v>
      </c>
      <c r="AO62" s="43">
        <f t="shared" si="45"/>
        <v>1</v>
      </c>
      <c r="AP62" s="43">
        <f t="shared" si="45"/>
        <v>1</v>
      </c>
      <c r="AQ62" s="43">
        <f t="shared" si="45"/>
        <v>1</v>
      </c>
      <c r="AR62" s="43">
        <f t="shared" si="45"/>
        <v>1</v>
      </c>
      <c r="AS62" s="43">
        <f t="shared" si="45"/>
        <v>1</v>
      </c>
      <c r="AT62" s="43">
        <f t="shared" si="45"/>
        <v>1</v>
      </c>
      <c r="AU62" s="43">
        <f t="shared" si="45"/>
        <v>1</v>
      </c>
      <c r="AV62" s="43">
        <f t="shared" ref="AV62:BE71" si="46">IF($Q62&gt;AV$10,IF($Q62-$P62&lt;=AV$10,$L62,1),0)</f>
        <v>1</v>
      </c>
      <c r="AW62" s="43">
        <f t="shared" si="46"/>
        <v>1</v>
      </c>
      <c r="AX62" s="43">
        <f t="shared" si="46"/>
        <v>1</v>
      </c>
      <c r="AY62" s="43">
        <f t="shared" si="46"/>
        <v>1</v>
      </c>
      <c r="AZ62" s="43">
        <f t="shared" si="46"/>
        <v>1</v>
      </c>
      <c r="BA62" s="43">
        <f t="shared" si="46"/>
        <v>1</v>
      </c>
      <c r="BB62" s="43">
        <f t="shared" si="46"/>
        <v>1</v>
      </c>
      <c r="BC62" s="43">
        <f t="shared" si="46"/>
        <v>1</v>
      </c>
      <c r="BD62" s="43">
        <f t="shared" si="46"/>
        <v>1</v>
      </c>
      <c r="BE62" s="43">
        <f t="shared" si="46"/>
        <v>1</v>
      </c>
      <c r="BF62" s="43">
        <f t="shared" ref="BF62:BO71" si="47">IF($Q62&gt;BF$10,IF($Q62-$P62&lt;=BF$10,$L62,1),0)</f>
        <v>1</v>
      </c>
      <c r="BG62" s="43">
        <f t="shared" si="47"/>
        <v>1</v>
      </c>
      <c r="BH62" s="43">
        <f t="shared" si="47"/>
        <v>1</v>
      </c>
      <c r="BI62" s="43">
        <f t="shared" si="47"/>
        <v>1</v>
      </c>
      <c r="BJ62" s="43">
        <f t="shared" si="47"/>
        <v>1</v>
      </c>
      <c r="BK62" s="43">
        <f t="shared" si="47"/>
        <v>1</v>
      </c>
      <c r="BL62" s="43">
        <f t="shared" si="47"/>
        <v>1</v>
      </c>
      <c r="BM62" s="43">
        <f t="shared" si="47"/>
        <v>1</v>
      </c>
      <c r="BN62" s="43">
        <f t="shared" si="47"/>
        <v>1</v>
      </c>
      <c r="BO62" s="43">
        <f t="shared" si="47"/>
        <v>1</v>
      </c>
      <c r="BP62" s="43">
        <f t="shared" ref="BP62:CA71" si="48">IF($Q62&gt;BP$10,IF($Q62-$P62&lt;=BP$10,$L62,1),0)</f>
        <v>1</v>
      </c>
      <c r="BQ62" s="43">
        <f t="shared" si="48"/>
        <v>1</v>
      </c>
      <c r="BR62" s="43">
        <f t="shared" si="48"/>
        <v>0</v>
      </c>
      <c r="BS62" s="43">
        <f t="shared" si="48"/>
        <v>0</v>
      </c>
      <c r="BT62" s="43">
        <f t="shared" si="48"/>
        <v>0</v>
      </c>
      <c r="BU62" s="43">
        <f t="shared" si="48"/>
        <v>0</v>
      </c>
      <c r="BV62" s="43">
        <f t="shared" si="48"/>
        <v>0</v>
      </c>
      <c r="BW62" s="43">
        <f t="shared" si="48"/>
        <v>0</v>
      </c>
      <c r="BX62" s="43">
        <f t="shared" si="48"/>
        <v>0</v>
      </c>
      <c r="BY62" s="43">
        <f t="shared" si="48"/>
        <v>0</v>
      </c>
      <c r="BZ62" s="43">
        <f t="shared" si="48"/>
        <v>0</v>
      </c>
      <c r="CA62" s="43">
        <f t="shared" si="48"/>
        <v>0</v>
      </c>
    </row>
    <row r="63" spans="1:79" x14ac:dyDescent="0.25">
      <c r="A63" s="35">
        <v>46</v>
      </c>
      <c r="B63" s="8"/>
      <c r="C63" s="8"/>
      <c r="D63" s="8"/>
      <c r="E63" s="7"/>
      <c r="F63" s="49"/>
      <c r="G63" s="5"/>
      <c r="H63" s="10">
        <f t="shared" si="8"/>
        <v>0</v>
      </c>
      <c r="I63" s="49" t="e">
        <f>VLOOKUP(B63,База!$B$8:$I$52,3,FALSE)*60</f>
        <v>#N/A</v>
      </c>
      <c r="J63" s="35" t="e">
        <f>VLOOKUP(B63,База!$B$8:$I$52,7,FALSE)*I63</f>
        <v>#N/A</v>
      </c>
      <c r="K63" s="35" t="e">
        <f>VLOOKUP(B63,База!$B$8:$I$52,6,FALSE)</f>
        <v>#N/A</v>
      </c>
      <c r="L63" s="35" t="e">
        <f t="shared" si="35"/>
        <v>#N/A</v>
      </c>
      <c r="M63" s="9">
        <f t="shared" si="36"/>
        <v>0</v>
      </c>
      <c r="N63" s="53">
        <f t="shared" si="13"/>
        <v>612.23658315042314</v>
      </c>
      <c r="O63" s="53">
        <f t="shared" si="14"/>
        <v>612.23658315042314</v>
      </c>
      <c r="P63" s="53">
        <f t="shared" si="15"/>
        <v>0</v>
      </c>
      <c r="Q63" s="53">
        <f t="shared" si="16"/>
        <v>612.23658315042314</v>
      </c>
      <c r="R63" s="43">
        <f t="shared" si="43"/>
        <v>1</v>
      </c>
      <c r="S63" s="43">
        <f t="shared" si="43"/>
        <v>1</v>
      </c>
      <c r="T63" s="43">
        <f t="shared" si="43"/>
        <v>1</v>
      </c>
      <c r="U63" s="43">
        <f t="shared" si="43"/>
        <v>1</v>
      </c>
      <c r="V63" s="43">
        <f t="shared" si="43"/>
        <v>1</v>
      </c>
      <c r="W63" s="43">
        <f t="shared" si="43"/>
        <v>1</v>
      </c>
      <c r="X63" s="43">
        <f t="shared" si="43"/>
        <v>1</v>
      </c>
      <c r="Y63" s="43">
        <f t="shared" si="43"/>
        <v>1</v>
      </c>
      <c r="Z63" s="43">
        <f t="shared" si="43"/>
        <v>1</v>
      </c>
      <c r="AA63" s="43">
        <f t="shared" si="43"/>
        <v>1</v>
      </c>
      <c r="AB63" s="43">
        <f t="shared" si="44"/>
        <v>1</v>
      </c>
      <c r="AC63" s="43">
        <f t="shared" si="44"/>
        <v>1</v>
      </c>
      <c r="AD63" s="43">
        <f t="shared" si="44"/>
        <v>1</v>
      </c>
      <c r="AE63" s="43">
        <f t="shared" si="44"/>
        <v>1</v>
      </c>
      <c r="AF63" s="43">
        <f t="shared" si="44"/>
        <v>1</v>
      </c>
      <c r="AG63" s="43">
        <f t="shared" si="44"/>
        <v>1</v>
      </c>
      <c r="AH63" s="43">
        <f t="shared" si="44"/>
        <v>1</v>
      </c>
      <c r="AI63" s="43">
        <f t="shared" si="44"/>
        <v>1</v>
      </c>
      <c r="AJ63" s="43">
        <f t="shared" si="44"/>
        <v>1</v>
      </c>
      <c r="AK63" s="43">
        <f t="shared" si="44"/>
        <v>1</v>
      </c>
      <c r="AL63" s="43">
        <f t="shared" si="45"/>
        <v>1</v>
      </c>
      <c r="AM63" s="43">
        <f t="shared" si="45"/>
        <v>1</v>
      </c>
      <c r="AN63" s="43">
        <f t="shared" si="45"/>
        <v>1</v>
      </c>
      <c r="AO63" s="43">
        <f t="shared" si="45"/>
        <v>1</v>
      </c>
      <c r="AP63" s="43">
        <f t="shared" si="45"/>
        <v>1</v>
      </c>
      <c r="AQ63" s="43">
        <f t="shared" si="45"/>
        <v>1</v>
      </c>
      <c r="AR63" s="43">
        <f t="shared" si="45"/>
        <v>1</v>
      </c>
      <c r="AS63" s="43">
        <f t="shared" si="45"/>
        <v>1</v>
      </c>
      <c r="AT63" s="43">
        <f t="shared" si="45"/>
        <v>1</v>
      </c>
      <c r="AU63" s="43">
        <f t="shared" si="45"/>
        <v>1</v>
      </c>
      <c r="AV63" s="43">
        <f t="shared" si="46"/>
        <v>1</v>
      </c>
      <c r="AW63" s="43">
        <f t="shared" si="46"/>
        <v>1</v>
      </c>
      <c r="AX63" s="43">
        <f t="shared" si="46"/>
        <v>1</v>
      </c>
      <c r="AY63" s="43">
        <f t="shared" si="46"/>
        <v>1</v>
      </c>
      <c r="AZ63" s="43">
        <f t="shared" si="46"/>
        <v>1</v>
      </c>
      <c r="BA63" s="43">
        <f t="shared" si="46"/>
        <v>1</v>
      </c>
      <c r="BB63" s="43">
        <f t="shared" si="46"/>
        <v>1</v>
      </c>
      <c r="BC63" s="43">
        <f t="shared" si="46"/>
        <v>1</v>
      </c>
      <c r="BD63" s="43">
        <f t="shared" si="46"/>
        <v>1</v>
      </c>
      <c r="BE63" s="43">
        <f t="shared" si="46"/>
        <v>1</v>
      </c>
      <c r="BF63" s="43">
        <f t="shared" si="47"/>
        <v>1</v>
      </c>
      <c r="BG63" s="43">
        <f t="shared" si="47"/>
        <v>1</v>
      </c>
      <c r="BH63" s="43">
        <f t="shared" si="47"/>
        <v>1</v>
      </c>
      <c r="BI63" s="43">
        <f t="shared" si="47"/>
        <v>1</v>
      </c>
      <c r="BJ63" s="43">
        <f t="shared" si="47"/>
        <v>1</v>
      </c>
      <c r="BK63" s="43">
        <f t="shared" si="47"/>
        <v>1</v>
      </c>
      <c r="BL63" s="43">
        <f t="shared" si="47"/>
        <v>1</v>
      </c>
      <c r="BM63" s="43">
        <f t="shared" si="47"/>
        <v>1</v>
      </c>
      <c r="BN63" s="43">
        <f t="shared" si="47"/>
        <v>1</v>
      </c>
      <c r="BO63" s="43">
        <f t="shared" si="47"/>
        <v>1</v>
      </c>
      <c r="BP63" s="43">
        <f t="shared" si="48"/>
        <v>1</v>
      </c>
      <c r="BQ63" s="43">
        <f t="shared" si="48"/>
        <v>1</v>
      </c>
      <c r="BR63" s="43">
        <f t="shared" si="48"/>
        <v>0</v>
      </c>
      <c r="BS63" s="43">
        <f t="shared" si="48"/>
        <v>0</v>
      </c>
      <c r="BT63" s="43">
        <f t="shared" si="48"/>
        <v>0</v>
      </c>
      <c r="BU63" s="43">
        <f t="shared" si="48"/>
        <v>0</v>
      </c>
      <c r="BV63" s="43">
        <f t="shared" si="48"/>
        <v>0</v>
      </c>
      <c r="BW63" s="43">
        <f t="shared" si="48"/>
        <v>0</v>
      </c>
      <c r="BX63" s="43">
        <f t="shared" si="48"/>
        <v>0</v>
      </c>
      <c r="BY63" s="43">
        <f t="shared" si="48"/>
        <v>0</v>
      </c>
      <c r="BZ63" s="43">
        <f t="shared" si="48"/>
        <v>0</v>
      </c>
      <c r="CA63" s="43">
        <f t="shared" si="48"/>
        <v>0</v>
      </c>
    </row>
    <row r="64" spans="1:79" x14ac:dyDescent="0.25">
      <c r="A64" s="35">
        <v>47</v>
      </c>
      <c r="B64" s="8"/>
      <c r="C64" s="8"/>
      <c r="D64" s="8"/>
      <c r="E64" s="7"/>
      <c r="F64" s="49"/>
      <c r="G64" s="5"/>
      <c r="H64" s="10">
        <f t="shared" si="8"/>
        <v>0</v>
      </c>
      <c r="I64" s="49" t="e">
        <f>VLOOKUP(B64,База!$B$8:$I$52,3,FALSE)*60</f>
        <v>#N/A</v>
      </c>
      <c r="J64" s="35" t="e">
        <f>VLOOKUP(B64,База!$B$8:$I$52,7,FALSE)*I64</f>
        <v>#N/A</v>
      </c>
      <c r="K64" s="35" t="e">
        <f>VLOOKUP(B64,База!$B$8:$I$52,6,FALSE)</f>
        <v>#N/A</v>
      </c>
      <c r="L64" s="35" t="e">
        <f t="shared" si="35"/>
        <v>#N/A</v>
      </c>
      <c r="M64" s="9">
        <f t="shared" si="36"/>
        <v>0</v>
      </c>
      <c r="N64" s="53">
        <f t="shared" si="13"/>
        <v>612.23658315042314</v>
      </c>
      <c r="O64" s="53">
        <f t="shared" si="14"/>
        <v>612.23658315042314</v>
      </c>
      <c r="P64" s="53">
        <f t="shared" si="15"/>
        <v>0</v>
      </c>
      <c r="Q64" s="53">
        <f t="shared" si="16"/>
        <v>612.23658315042314</v>
      </c>
      <c r="R64" s="43">
        <f t="shared" si="43"/>
        <v>1</v>
      </c>
      <c r="S64" s="43">
        <f t="shared" si="43"/>
        <v>1</v>
      </c>
      <c r="T64" s="43">
        <f t="shared" si="43"/>
        <v>1</v>
      </c>
      <c r="U64" s="43">
        <f t="shared" si="43"/>
        <v>1</v>
      </c>
      <c r="V64" s="43">
        <f t="shared" si="43"/>
        <v>1</v>
      </c>
      <c r="W64" s="43">
        <f t="shared" si="43"/>
        <v>1</v>
      </c>
      <c r="X64" s="43">
        <f t="shared" si="43"/>
        <v>1</v>
      </c>
      <c r="Y64" s="43">
        <f t="shared" si="43"/>
        <v>1</v>
      </c>
      <c r="Z64" s="43">
        <f t="shared" si="43"/>
        <v>1</v>
      </c>
      <c r="AA64" s="43">
        <f t="shared" si="43"/>
        <v>1</v>
      </c>
      <c r="AB64" s="43">
        <f t="shared" si="44"/>
        <v>1</v>
      </c>
      <c r="AC64" s="43">
        <f t="shared" si="44"/>
        <v>1</v>
      </c>
      <c r="AD64" s="43">
        <f t="shared" si="44"/>
        <v>1</v>
      </c>
      <c r="AE64" s="43">
        <f t="shared" si="44"/>
        <v>1</v>
      </c>
      <c r="AF64" s="43">
        <f t="shared" si="44"/>
        <v>1</v>
      </c>
      <c r="AG64" s="43">
        <f t="shared" si="44"/>
        <v>1</v>
      </c>
      <c r="AH64" s="43">
        <f t="shared" si="44"/>
        <v>1</v>
      </c>
      <c r="AI64" s="43">
        <f t="shared" si="44"/>
        <v>1</v>
      </c>
      <c r="AJ64" s="43">
        <f t="shared" si="44"/>
        <v>1</v>
      </c>
      <c r="AK64" s="43">
        <f t="shared" si="44"/>
        <v>1</v>
      </c>
      <c r="AL64" s="43">
        <f t="shared" si="45"/>
        <v>1</v>
      </c>
      <c r="AM64" s="43">
        <f t="shared" si="45"/>
        <v>1</v>
      </c>
      <c r="AN64" s="43">
        <f t="shared" si="45"/>
        <v>1</v>
      </c>
      <c r="AO64" s="43">
        <f t="shared" si="45"/>
        <v>1</v>
      </c>
      <c r="AP64" s="43">
        <f t="shared" si="45"/>
        <v>1</v>
      </c>
      <c r="AQ64" s="43">
        <f t="shared" si="45"/>
        <v>1</v>
      </c>
      <c r="AR64" s="43">
        <f t="shared" si="45"/>
        <v>1</v>
      </c>
      <c r="AS64" s="43">
        <f t="shared" si="45"/>
        <v>1</v>
      </c>
      <c r="AT64" s="43">
        <f t="shared" si="45"/>
        <v>1</v>
      </c>
      <c r="AU64" s="43">
        <f t="shared" si="45"/>
        <v>1</v>
      </c>
      <c r="AV64" s="43">
        <f t="shared" si="46"/>
        <v>1</v>
      </c>
      <c r="AW64" s="43">
        <f t="shared" si="46"/>
        <v>1</v>
      </c>
      <c r="AX64" s="43">
        <f t="shared" si="46"/>
        <v>1</v>
      </c>
      <c r="AY64" s="43">
        <f t="shared" si="46"/>
        <v>1</v>
      </c>
      <c r="AZ64" s="43">
        <f t="shared" si="46"/>
        <v>1</v>
      </c>
      <c r="BA64" s="43">
        <f t="shared" si="46"/>
        <v>1</v>
      </c>
      <c r="BB64" s="43">
        <f t="shared" si="46"/>
        <v>1</v>
      </c>
      <c r="BC64" s="43">
        <f t="shared" si="46"/>
        <v>1</v>
      </c>
      <c r="BD64" s="43">
        <f t="shared" si="46"/>
        <v>1</v>
      </c>
      <c r="BE64" s="43">
        <f t="shared" si="46"/>
        <v>1</v>
      </c>
      <c r="BF64" s="43">
        <f t="shared" si="47"/>
        <v>1</v>
      </c>
      <c r="BG64" s="43">
        <f t="shared" si="47"/>
        <v>1</v>
      </c>
      <c r="BH64" s="43">
        <f t="shared" si="47"/>
        <v>1</v>
      </c>
      <c r="BI64" s="43">
        <f t="shared" si="47"/>
        <v>1</v>
      </c>
      <c r="BJ64" s="43">
        <f t="shared" si="47"/>
        <v>1</v>
      </c>
      <c r="BK64" s="43">
        <f t="shared" si="47"/>
        <v>1</v>
      </c>
      <c r="BL64" s="43">
        <f t="shared" si="47"/>
        <v>1</v>
      </c>
      <c r="BM64" s="43">
        <f t="shared" si="47"/>
        <v>1</v>
      </c>
      <c r="BN64" s="43">
        <f t="shared" si="47"/>
        <v>1</v>
      </c>
      <c r="BO64" s="43">
        <f t="shared" si="47"/>
        <v>1</v>
      </c>
      <c r="BP64" s="43">
        <f t="shared" si="48"/>
        <v>1</v>
      </c>
      <c r="BQ64" s="43">
        <f t="shared" si="48"/>
        <v>1</v>
      </c>
      <c r="BR64" s="43">
        <f t="shared" si="48"/>
        <v>0</v>
      </c>
      <c r="BS64" s="43">
        <f t="shared" si="48"/>
        <v>0</v>
      </c>
      <c r="BT64" s="43">
        <f t="shared" si="48"/>
        <v>0</v>
      </c>
      <c r="BU64" s="43">
        <f t="shared" si="48"/>
        <v>0</v>
      </c>
      <c r="BV64" s="43">
        <f t="shared" si="48"/>
        <v>0</v>
      </c>
      <c r="BW64" s="43">
        <f t="shared" si="48"/>
        <v>0</v>
      </c>
      <c r="BX64" s="43">
        <f t="shared" si="48"/>
        <v>0</v>
      </c>
      <c r="BY64" s="43">
        <f t="shared" si="48"/>
        <v>0</v>
      </c>
      <c r="BZ64" s="43">
        <f t="shared" si="48"/>
        <v>0</v>
      </c>
      <c r="CA64" s="43">
        <f t="shared" si="48"/>
        <v>0</v>
      </c>
    </row>
    <row r="65" spans="1:79" x14ac:dyDescent="0.25">
      <c r="A65" s="35">
        <v>48</v>
      </c>
      <c r="B65" s="8"/>
      <c r="C65" s="8"/>
      <c r="D65" s="8"/>
      <c r="E65" s="7"/>
      <c r="F65" s="49"/>
      <c r="G65" s="5"/>
      <c r="H65" s="10">
        <f t="shared" si="8"/>
        <v>0</v>
      </c>
      <c r="I65" s="49" t="e">
        <f>VLOOKUP(B65,База!$B$8:$I$52,3,FALSE)*60</f>
        <v>#N/A</v>
      </c>
      <c r="J65" s="35" t="e">
        <f>VLOOKUP(B65,База!$B$8:$I$52,7,FALSE)*I65</f>
        <v>#N/A</v>
      </c>
      <c r="K65" s="35" t="e">
        <f>VLOOKUP(B65,База!$B$8:$I$52,6,FALSE)</f>
        <v>#N/A</v>
      </c>
      <c r="L65" s="35" t="e">
        <f t="shared" si="35"/>
        <v>#N/A</v>
      </c>
      <c r="M65" s="9">
        <f t="shared" si="36"/>
        <v>0</v>
      </c>
      <c r="N65" s="53">
        <f t="shared" ref="N65:N96" si="49">Q64</f>
        <v>612.23658315042314</v>
      </c>
      <c r="O65" s="53">
        <f t="shared" ref="O65:O96" si="50">N65+M65</f>
        <v>612.23658315042314</v>
      </c>
      <c r="P65" s="53">
        <f t="shared" ref="P65:P96" si="51">O65-N65</f>
        <v>0</v>
      </c>
      <c r="Q65" s="53">
        <f t="shared" ref="Q65:Q96" si="52">Q64+P65</f>
        <v>612.23658315042314</v>
      </c>
      <c r="R65" s="43">
        <f t="shared" si="43"/>
        <v>1</v>
      </c>
      <c r="S65" s="43">
        <f t="shared" si="43"/>
        <v>1</v>
      </c>
      <c r="T65" s="43">
        <f t="shared" si="43"/>
        <v>1</v>
      </c>
      <c r="U65" s="43">
        <f t="shared" si="43"/>
        <v>1</v>
      </c>
      <c r="V65" s="43">
        <f t="shared" si="43"/>
        <v>1</v>
      </c>
      <c r="W65" s="43">
        <f t="shared" si="43"/>
        <v>1</v>
      </c>
      <c r="X65" s="43">
        <f t="shared" si="43"/>
        <v>1</v>
      </c>
      <c r="Y65" s="43">
        <f t="shared" si="43"/>
        <v>1</v>
      </c>
      <c r="Z65" s="43">
        <f t="shared" si="43"/>
        <v>1</v>
      </c>
      <c r="AA65" s="43">
        <f t="shared" si="43"/>
        <v>1</v>
      </c>
      <c r="AB65" s="43">
        <f t="shared" si="44"/>
        <v>1</v>
      </c>
      <c r="AC65" s="43">
        <f t="shared" si="44"/>
        <v>1</v>
      </c>
      <c r="AD65" s="43">
        <f t="shared" si="44"/>
        <v>1</v>
      </c>
      <c r="AE65" s="43">
        <f t="shared" si="44"/>
        <v>1</v>
      </c>
      <c r="AF65" s="43">
        <f t="shared" si="44"/>
        <v>1</v>
      </c>
      <c r="AG65" s="43">
        <f t="shared" si="44"/>
        <v>1</v>
      </c>
      <c r="AH65" s="43">
        <f t="shared" si="44"/>
        <v>1</v>
      </c>
      <c r="AI65" s="43">
        <f t="shared" si="44"/>
        <v>1</v>
      </c>
      <c r="AJ65" s="43">
        <f t="shared" si="44"/>
        <v>1</v>
      </c>
      <c r="AK65" s="43">
        <f t="shared" si="44"/>
        <v>1</v>
      </c>
      <c r="AL65" s="43">
        <f t="shared" si="45"/>
        <v>1</v>
      </c>
      <c r="AM65" s="43">
        <f t="shared" si="45"/>
        <v>1</v>
      </c>
      <c r="AN65" s="43">
        <f t="shared" si="45"/>
        <v>1</v>
      </c>
      <c r="AO65" s="43">
        <f t="shared" si="45"/>
        <v>1</v>
      </c>
      <c r="AP65" s="43">
        <f t="shared" si="45"/>
        <v>1</v>
      </c>
      <c r="AQ65" s="43">
        <f t="shared" si="45"/>
        <v>1</v>
      </c>
      <c r="AR65" s="43">
        <f t="shared" si="45"/>
        <v>1</v>
      </c>
      <c r="AS65" s="43">
        <f t="shared" si="45"/>
        <v>1</v>
      </c>
      <c r="AT65" s="43">
        <f t="shared" si="45"/>
        <v>1</v>
      </c>
      <c r="AU65" s="43">
        <f t="shared" si="45"/>
        <v>1</v>
      </c>
      <c r="AV65" s="43">
        <f t="shared" si="46"/>
        <v>1</v>
      </c>
      <c r="AW65" s="43">
        <f t="shared" si="46"/>
        <v>1</v>
      </c>
      <c r="AX65" s="43">
        <f t="shared" si="46"/>
        <v>1</v>
      </c>
      <c r="AY65" s="43">
        <f t="shared" si="46"/>
        <v>1</v>
      </c>
      <c r="AZ65" s="43">
        <f t="shared" si="46"/>
        <v>1</v>
      </c>
      <c r="BA65" s="43">
        <f t="shared" si="46"/>
        <v>1</v>
      </c>
      <c r="BB65" s="43">
        <f t="shared" si="46"/>
        <v>1</v>
      </c>
      <c r="BC65" s="43">
        <f t="shared" si="46"/>
        <v>1</v>
      </c>
      <c r="BD65" s="43">
        <f t="shared" si="46"/>
        <v>1</v>
      </c>
      <c r="BE65" s="43">
        <f t="shared" si="46"/>
        <v>1</v>
      </c>
      <c r="BF65" s="43">
        <f t="shared" si="47"/>
        <v>1</v>
      </c>
      <c r="BG65" s="43">
        <f t="shared" si="47"/>
        <v>1</v>
      </c>
      <c r="BH65" s="43">
        <f t="shared" si="47"/>
        <v>1</v>
      </c>
      <c r="BI65" s="43">
        <f t="shared" si="47"/>
        <v>1</v>
      </c>
      <c r="BJ65" s="43">
        <f t="shared" si="47"/>
        <v>1</v>
      </c>
      <c r="BK65" s="43">
        <f t="shared" si="47"/>
        <v>1</v>
      </c>
      <c r="BL65" s="43">
        <f t="shared" si="47"/>
        <v>1</v>
      </c>
      <c r="BM65" s="43">
        <f t="shared" si="47"/>
        <v>1</v>
      </c>
      <c r="BN65" s="43">
        <f t="shared" si="47"/>
        <v>1</v>
      </c>
      <c r="BO65" s="43">
        <f t="shared" si="47"/>
        <v>1</v>
      </c>
      <c r="BP65" s="43">
        <f t="shared" si="48"/>
        <v>1</v>
      </c>
      <c r="BQ65" s="43">
        <f t="shared" si="48"/>
        <v>1</v>
      </c>
      <c r="BR65" s="43">
        <f t="shared" si="48"/>
        <v>0</v>
      </c>
      <c r="BS65" s="43">
        <f t="shared" si="48"/>
        <v>0</v>
      </c>
      <c r="BT65" s="43">
        <f t="shared" si="48"/>
        <v>0</v>
      </c>
      <c r="BU65" s="43">
        <f t="shared" si="48"/>
        <v>0</v>
      </c>
      <c r="BV65" s="43">
        <f t="shared" si="48"/>
        <v>0</v>
      </c>
      <c r="BW65" s="43">
        <f t="shared" si="48"/>
        <v>0</v>
      </c>
      <c r="BX65" s="43">
        <f t="shared" si="48"/>
        <v>0</v>
      </c>
      <c r="BY65" s="43">
        <f t="shared" si="48"/>
        <v>0</v>
      </c>
      <c r="BZ65" s="43">
        <f t="shared" si="48"/>
        <v>0</v>
      </c>
      <c r="CA65" s="43">
        <f t="shared" si="48"/>
        <v>0</v>
      </c>
    </row>
    <row r="66" spans="1:79" x14ac:dyDescent="0.25">
      <c r="A66" s="35">
        <v>49</v>
      </c>
      <c r="B66" s="8"/>
      <c r="C66" s="8"/>
      <c r="D66" s="8"/>
      <c r="E66" s="7"/>
      <c r="F66" s="49"/>
      <c r="G66" s="5"/>
      <c r="H66" s="10">
        <f t="shared" si="8"/>
        <v>0</v>
      </c>
      <c r="I66" s="49" t="e">
        <f>VLOOKUP(B66,База!$B$8:$I$52,3,FALSE)*60</f>
        <v>#N/A</v>
      </c>
      <c r="J66" s="35" t="e">
        <f>VLOOKUP(B66,База!$B$8:$I$52,7,FALSE)*I66</f>
        <v>#N/A</v>
      </c>
      <c r="K66" s="35" t="e">
        <f>VLOOKUP(B66,База!$B$8:$I$52,6,FALSE)</f>
        <v>#N/A</v>
      </c>
      <c r="L66" s="35" t="e">
        <f t="shared" si="35"/>
        <v>#N/A</v>
      </c>
      <c r="M66" s="9">
        <f t="shared" si="36"/>
        <v>0</v>
      </c>
      <c r="N66" s="53">
        <f t="shared" si="49"/>
        <v>612.23658315042314</v>
      </c>
      <c r="O66" s="53">
        <f t="shared" si="50"/>
        <v>612.23658315042314</v>
      </c>
      <c r="P66" s="53">
        <f t="shared" si="51"/>
        <v>0</v>
      </c>
      <c r="Q66" s="53">
        <f t="shared" si="52"/>
        <v>612.23658315042314</v>
      </c>
      <c r="R66" s="43">
        <f t="shared" si="43"/>
        <v>1</v>
      </c>
      <c r="S66" s="43">
        <f t="shared" si="43"/>
        <v>1</v>
      </c>
      <c r="T66" s="43">
        <f t="shared" si="43"/>
        <v>1</v>
      </c>
      <c r="U66" s="43">
        <f t="shared" si="43"/>
        <v>1</v>
      </c>
      <c r="V66" s="43">
        <f t="shared" si="43"/>
        <v>1</v>
      </c>
      <c r="W66" s="43">
        <f t="shared" si="43"/>
        <v>1</v>
      </c>
      <c r="X66" s="43">
        <f t="shared" si="43"/>
        <v>1</v>
      </c>
      <c r="Y66" s="43">
        <f t="shared" si="43"/>
        <v>1</v>
      </c>
      <c r="Z66" s="43">
        <f t="shared" si="43"/>
        <v>1</v>
      </c>
      <c r="AA66" s="43">
        <f t="shared" si="43"/>
        <v>1</v>
      </c>
      <c r="AB66" s="43">
        <f t="shared" si="44"/>
        <v>1</v>
      </c>
      <c r="AC66" s="43">
        <f t="shared" si="44"/>
        <v>1</v>
      </c>
      <c r="AD66" s="43">
        <f t="shared" si="44"/>
        <v>1</v>
      </c>
      <c r="AE66" s="43">
        <f t="shared" si="44"/>
        <v>1</v>
      </c>
      <c r="AF66" s="43">
        <f t="shared" si="44"/>
        <v>1</v>
      </c>
      <c r="AG66" s="43">
        <f t="shared" si="44"/>
        <v>1</v>
      </c>
      <c r="AH66" s="43">
        <f t="shared" si="44"/>
        <v>1</v>
      </c>
      <c r="AI66" s="43">
        <f t="shared" si="44"/>
        <v>1</v>
      </c>
      <c r="AJ66" s="43">
        <f t="shared" si="44"/>
        <v>1</v>
      </c>
      <c r="AK66" s="43">
        <f t="shared" si="44"/>
        <v>1</v>
      </c>
      <c r="AL66" s="43">
        <f t="shared" si="45"/>
        <v>1</v>
      </c>
      <c r="AM66" s="43">
        <f t="shared" si="45"/>
        <v>1</v>
      </c>
      <c r="AN66" s="43">
        <f t="shared" si="45"/>
        <v>1</v>
      </c>
      <c r="AO66" s="43">
        <f t="shared" si="45"/>
        <v>1</v>
      </c>
      <c r="AP66" s="43">
        <f t="shared" si="45"/>
        <v>1</v>
      </c>
      <c r="AQ66" s="43">
        <f t="shared" si="45"/>
        <v>1</v>
      </c>
      <c r="AR66" s="43">
        <f t="shared" si="45"/>
        <v>1</v>
      </c>
      <c r="AS66" s="43">
        <f t="shared" si="45"/>
        <v>1</v>
      </c>
      <c r="AT66" s="43">
        <f t="shared" si="45"/>
        <v>1</v>
      </c>
      <c r="AU66" s="43">
        <f t="shared" si="45"/>
        <v>1</v>
      </c>
      <c r="AV66" s="43">
        <f t="shared" si="46"/>
        <v>1</v>
      </c>
      <c r="AW66" s="43">
        <f t="shared" si="46"/>
        <v>1</v>
      </c>
      <c r="AX66" s="43">
        <f t="shared" si="46"/>
        <v>1</v>
      </c>
      <c r="AY66" s="43">
        <f t="shared" si="46"/>
        <v>1</v>
      </c>
      <c r="AZ66" s="43">
        <f t="shared" si="46"/>
        <v>1</v>
      </c>
      <c r="BA66" s="43">
        <f t="shared" si="46"/>
        <v>1</v>
      </c>
      <c r="BB66" s="43">
        <f t="shared" si="46"/>
        <v>1</v>
      </c>
      <c r="BC66" s="43">
        <f t="shared" si="46"/>
        <v>1</v>
      </c>
      <c r="BD66" s="43">
        <f t="shared" si="46"/>
        <v>1</v>
      </c>
      <c r="BE66" s="43">
        <f t="shared" si="46"/>
        <v>1</v>
      </c>
      <c r="BF66" s="43">
        <f t="shared" si="47"/>
        <v>1</v>
      </c>
      <c r="BG66" s="43">
        <f t="shared" si="47"/>
        <v>1</v>
      </c>
      <c r="BH66" s="43">
        <f t="shared" si="47"/>
        <v>1</v>
      </c>
      <c r="BI66" s="43">
        <f t="shared" si="47"/>
        <v>1</v>
      </c>
      <c r="BJ66" s="43">
        <f t="shared" si="47"/>
        <v>1</v>
      </c>
      <c r="BK66" s="43">
        <f t="shared" si="47"/>
        <v>1</v>
      </c>
      <c r="BL66" s="43">
        <f t="shared" si="47"/>
        <v>1</v>
      </c>
      <c r="BM66" s="43">
        <f t="shared" si="47"/>
        <v>1</v>
      </c>
      <c r="BN66" s="43">
        <f t="shared" si="47"/>
        <v>1</v>
      </c>
      <c r="BO66" s="43">
        <f t="shared" si="47"/>
        <v>1</v>
      </c>
      <c r="BP66" s="43">
        <f t="shared" si="48"/>
        <v>1</v>
      </c>
      <c r="BQ66" s="43">
        <f t="shared" si="48"/>
        <v>1</v>
      </c>
      <c r="BR66" s="43">
        <f t="shared" si="48"/>
        <v>0</v>
      </c>
      <c r="BS66" s="43">
        <f t="shared" si="48"/>
        <v>0</v>
      </c>
      <c r="BT66" s="43">
        <f t="shared" si="48"/>
        <v>0</v>
      </c>
      <c r="BU66" s="43">
        <f t="shared" si="48"/>
        <v>0</v>
      </c>
      <c r="BV66" s="43">
        <f t="shared" si="48"/>
        <v>0</v>
      </c>
      <c r="BW66" s="43">
        <f t="shared" si="48"/>
        <v>0</v>
      </c>
      <c r="BX66" s="43">
        <f t="shared" si="48"/>
        <v>0</v>
      </c>
      <c r="BY66" s="43">
        <f t="shared" si="48"/>
        <v>0</v>
      </c>
      <c r="BZ66" s="43">
        <f t="shared" si="48"/>
        <v>0</v>
      </c>
      <c r="CA66" s="43">
        <f t="shared" si="48"/>
        <v>0</v>
      </c>
    </row>
    <row r="67" spans="1:79" x14ac:dyDescent="0.25">
      <c r="A67" s="35">
        <v>50</v>
      </c>
      <c r="B67" s="8"/>
      <c r="C67" s="8"/>
      <c r="D67" s="8"/>
      <c r="E67" s="7"/>
      <c r="F67" s="49"/>
      <c r="G67" s="5"/>
      <c r="H67" s="10">
        <f t="shared" si="8"/>
        <v>0</v>
      </c>
      <c r="I67" s="49" t="e">
        <f>VLOOKUP(B67,База!$B$8:$I$52,3,FALSE)*60</f>
        <v>#N/A</v>
      </c>
      <c r="J67" s="35" t="e">
        <f>VLOOKUP(B67,База!$B$8:$I$52,7,FALSE)*I67</f>
        <v>#N/A</v>
      </c>
      <c r="K67" s="35" t="e">
        <f>VLOOKUP(B67,База!$B$8:$I$52,6,FALSE)</f>
        <v>#N/A</v>
      </c>
      <c r="L67" s="35" t="e">
        <f t="shared" si="35"/>
        <v>#N/A</v>
      </c>
      <c r="M67" s="9">
        <f t="shared" si="36"/>
        <v>0</v>
      </c>
      <c r="N67" s="53">
        <f t="shared" si="49"/>
        <v>612.23658315042314</v>
      </c>
      <c r="O67" s="53">
        <f t="shared" si="50"/>
        <v>612.23658315042314</v>
      </c>
      <c r="P67" s="53">
        <f t="shared" si="51"/>
        <v>0</v>
      </c>
      <c r="Q67" s="53">
        <f t="shared" si="52"/>
        <v>612.23658315042314</v>
      </c>
      <c r="R67" s="43">
        <f t="shared" si="43"/>
        <v>1</v>
      </c>
      <c r="S67" s="43">
        <f t="shared" si="43"/>
        <v>1</v>
      </c>
      <c r="T67" s="43">
        <f t="shared" si="43"/>
        <v>1</v>
      </c>
      <c r="U67" s="43">
        <f t="shared" si="43"/>
        <v>1</v>
      </c>
      <c r="V67" s="43">
        <f t="shared" si="43"/>
        <v>1</v>
      </c>
      <c r="W67" s="43">
        <f t="shared" si="43"/>
        <v>1</v>
      </c>
      <c r="X67" s="43">
        <f t="shared" si="43"/>
        <v>1</v>
      </c>
      <c r="Y67" s="43">
        <f t="shared" si="43"/>
        <v>1</v>
      </c>
      <c r="Z67" s="43">
        <f t="shared" si="43"/>
        <v>1</v>
      </c>
      <c r="AA67" s="43">
        <f t="shared" si="43"/>
        <v>1</v>
      </c>
      <c r="AB67" s="43">
        <f t="shared" si="44"/>
        <v>1</v>
      </c>
      <c r="AC67" s="43">
        <f t="shared" si="44"/>
        <v>1</v>
      </c>
      <c r="AD67" s="43">
        <f t="shared" si="44"/>
        <v>1</v>
      </c>
      <c r="AE67" s="43">
        <f t="shared" si="44"/>
        <v>1</v>
      </c>
      <c r="AF67" s="43">
        <f t="shared" si="44"/>
        <v>1</v>
      </c>
      <c r="AG67" s="43">
        <f t="shared" si="44"/>
        <v>1</v>
      </c>
      <c r="AH67" s="43">
        <f t="shared" si="44"/>
        <v>1</v>
      </c>
      <c r="AI67" s="43">
        <f t="shared" si="44"/>
        <v>1</v>
      </c>
      <c r="AJ67" s="43">
        <f t="shared" si="44"/>
        <v>1</v>
      </c>
      <c r="AK67" s="43">
        <f t="shared" si="44"/>
        <v>1</v>
      </c>
      <c r="AL67" s="43">
        <f t="shared" si="45"/>
        <v>1</v>
      </c>
      <c r="AM67" s="43">
        <f t="shared" si="45"/>
        <v>1</v>
      </c>
      <c r="AN67" s="43">
        <f t="shared" si="45"/>
        <v>1</v>
      </c>
      <c r="AO67" s="43">
        <f t="shared" si="45"/>
        <v>1</v>
      </c>
      <c r="AP67" s="43">
        <f t="shared" si="45"/>
        <v>1</v>
      </c>
      <c r="AQ67" s="43">
        <f t="shared" si="45"/>
        <v>1</v>
      </c>
      <c r="AR67" s="43">
        <f t="shared" si="45"/>
        <v>1</v>
      </c>
      <c r="AS67" s="43">
        <f t="shared" si="45"/>
        <v>1</v>
      </c>
      <c r="AT67" s="43">
        <f t="shared" si="45"/>
        <v>1</v>
      </c>
      <c r="AU67" s="43">
        <f t="shared" si="45"/>
        <v>1</v>
      </c>
      <c r="AV67" s="43">
        <f t="shared" si="46"/>
        <v>1</v>
      </c>
      <c r="AW67" s="43">
        <f t="shared" si="46"/>
        <v>1</v>
      </c>
      <c r="AX67" s="43">
        <f t="shared" si="46"/>
        <v>1</v>
      </c>
      <c r="AY67" s="43">
        <f t="shared" si="46"/>
        <v>1</v>
      </c>
      <c r="AZ67" s="43">
        <f t="shared" si="46"/>
        <v>1</v>
      </c>
      <c r="BA67" s="43">
        <f t="shared" si="46"/>
        <v>1</v>
      </c>
      <c r="BB67" s="43">
        <f t="shared" si="46"/>
        <v>1</v>
      </c>
      <c r="BC67" s="43">
        <f t="shared" si="46"/>
        <v>1</v>
      </c>
      <c r="BD67" s="43">
        <f t="shared" si="46"/>
        <v>1</v>
      </c>
      <c r="BE67" s="43">
        <f t="shared" si="46"/>
        <v>1</v>
      </c>
      <c r="BF67" s="43">
        <f t="shared" si="47"/>
        <v>1</v>
      </c>
      <c r="BG67" s="43">
        <f t="shared" si="47"/>
        <v>1</v>
      </c>
      <c r="BH67" s="43">
        <f t="shared" si="47"/>
        <v>1</v>
      </c>
      <c r="BI67" s="43">
        <f t="shared" si="47"/>
        <v>1</v>
      </c>
      <c r="BJ67" s="43">
        <f t="shared" si="47"/>
        <v>1</v>
      </c>
      <c r="BK67" s="43">
        <f t="shared" si="47"/>
        <v>1</v>
      </c>
      <c r="BL67" s="43">
        <f t="shared" si="47"/>
        <v>1</v>
      </c>
      <c r="BM67" s="43">
        <f t="shared" si="47"/>
        <v>1</v>
      </c>
      <c r="BN67" s="43">
        <f t="shared" si="47"/>
        <v>1</v>
      </c>
      <c r="BO67" s="43">
        <f t="shared" si="47"/>
        <v>1</v>
      </c>
      <c r="BP67" s="43">
        <f t="shared" si="48"/>
        <v>1</v>
      </c>
      <c r="BQ67" s="43">
        <f t="shared" si="48"/>
        <v>1</v>
      </c>
      <c r="BR67" s="43">
        <f t="shared" si="48"/>
        <v>0</v>
      </c>
      <c r="BS67" s="43">
        <f t="shared" si="48"/>
        <v>0</v>
      </c>
      <c r="BT67" s="43">
        <f t="shared" si="48"/>
        <v>0</v>
      </c>
      <c r="BU67" s="43">
        <f t="shared" si="48"/>
        <v>0</v>
      </c>
      <c r="BV67" s="43">
        <f t="shared" si="48"/>
        <v>0</v>
      </c>
      <c r="BW67" s="43">
        <f t="shared" si="48"/>
        <v>0</v>
      </c>
      <c r="BX67" s="43">
        <f t="shared" si="48"/>
        <v>0</v>
      </c>
      <c r="BY67" s="43">
        <f t="shared" si="48"/>
        <v>0</v>
      </c>
      <c r="BZ67" s="43">
        <f t="shared" si="48"/>
        <v>0</v>
      </c>
      <c r="CA67" s="43">
        <f t="shared" si="48"/>
        <v>0</v>
      </c>
    </row>
    <row r="68" spans="1:79" x14ac:dyDescent="0.25">
      <c r="A68" s="35">
        <v>51</v>
      </c>
      <c r="B68" s="8"/>
      <c r="C68" s="8"/>
      <c r="D68" s="8"/>
      <c r="E68" s="7"/>
      <c r="F68" s="49"/>
      <c r="G68" s="5"/>
      <c r="H68" s="10">
        <f t="shared" si="8"/>
        <v>0</v>
      </c>
      <c r="I68" s="49" t="e">
        <f>VLOOKUP(B68,База!$B$8:$I$52,3,FALSE)*60</f>
        <v>#N/A</v>
      </c>
      <c r="J68" s="35" t="e">
        <f>VLOOKUP(B68,База!$B$8:$I$52,7,FALSE)*I68</f>
        <v>#N/A</v>
      </c>
      <c r="K68" s="35" t="e">
        <f>VLOOKUP(B68,База!$B$8:$I$52,6,FALSE)</f>
        <v>#N/A</v>
      </c>
      <c r="L68" s="35" t="e">
        <f t="shared" si="35"/>
        <v>#N/A</v>
      </c>
      <c r="M68" s="9">
        <f t="shared" si="36"/>
        <v>0</v>
      </c>
      <c r="N68" s="53">
        <f t="shared" si="49"/>
        <v>612.23658315042314</v>
      </c>
      <c r="O68" s="53">
        <f t="shared" si="50"/>
        <v>612.23658315042314</v>
      </c>
      <c r="P68" s="53">
        <f t="shared" si="51"/>
        <v>0</v>
      </c>
      <c r="Q68" s="53">
        <f t="shared" si="52"/>
        <v>612.23658315042314</v>
      </c>
      <c r="R68" s="43">
        <f t="shared" si="43"/>
        <v>1</v>
      </c>
      <c r="S68" s="43">
        <f t="shared" si="43"/>
        <v>1</v>
      </c>
      <c r="T68" s="43">
        <f t="shared" si="43"/>
        <v>1</v>
      </c>
      <c r="U68" s="43">
        <f t="shared" si="43"/>
        <v>1</v>
      </c>
      <c r="V68" s="43">
        <f t="shared" si="43"/>
        <v>1</v>
      </c>
      <c r="W68" s="43">
        <f t="shared" si="43"/>
        <v>1</v>
      </c>
      <c r="X68" s="43">
        <f t="shared" si="43"/>
        <v>1</v>
      </c>
      <c r="Y68" s="43">
        <f t="shared" si="43"/>
        <v>1</v>
      </c>
      <c r="Z68" s="43">
        <f t="shared" si="43"/>
        <v>1</v>
      </c>
      <c r="AA68" s="43">
        <f t="shared" si="43"/>
        <v>1</v>
      </c>
      <c r="AB68" s="43">
        <f t="shared" si="44"/>
        <v>1</v>
      </c>
      <c r="AC68" s="43">
        <f t="shared" si="44"/>
        <v>1</v>
      </c>
      <c r="AD68" s="43">
        <f t="shared" si="44"/>
        <v>1</v>
      </c>
      <c r="AE68" s="43">
        <f t="shared" si="44"/>
        <v>1</v>
      </c>
      <c r="AF68" s="43">
        <f t="shared" si="44"/>
        <v>1</v>
      </c>
      <c r="AG68" s="43">
        <f t="shared" si="44"/>
        <v>1</v>
      </c>
      <c r="AH68" s="43">
        <f t="shared" si="44"/>
        <v>1</v>
      </c>
      <c r="AI68" s="43">
        <f t="shared" si="44"/>
        <v>1</v>
      </c>
      <c r="AJ68" s="43">
        <f t="shared" si="44"/>
        <v>1</v>
      </c>
      <c r="AK68" s="43">
        <f t="shared" si="44"/>
        <v>1</v>
      </c>
      <c r="AL68" s="43">
        <f t="shared" si="45"/>
        <v>1</v>
      </c>
      <c r="AM68" s="43">
        <f t="shared" si="45"/>
        <v>1</v>
      </c>
      <c r="AN68" s="43">
        <f t="shared" si="45"/>
        <v>1</v>
      </c>
      <c r="AO68" s="43">
        <f t="shared" si="45"/>
        <v>1</v>
      </c>
      <c r="AP68" s="43">
        <f t="shared" si="45"/>
        <v>1</v>
      </c>
      <c r="AQ68" s="43">
        <f t="shared" si="45"/>
        <v>1</v>
      </c>
      <c r="AR68" s="43">
        <f t="shared" si="45"/>
        <v>1</v>
      </c>
      <c r="AS68" s="43">
        <f t="shared" si="45"/>
        <v>1</v>
      </c>
      <c r="AT68" s="43">
        <f t="shared" si="45"/>
        <v>1</v>
      </c>
      <c r="AU68" s="43">
        <f t="shared" si="45"/>
        <v>1</v>
      </c>
      <c r="AV68" s="43">
        <f t="shared" si="46"/>
        <v>1</v>
      </c>
      <c r="AW68" s="43">
        <f t="shared" si="46"/>
        <v>1</v>
      </c>
      <c r="AX68" s="43">
        <f t="shared" si="46"/>
        <v>1</v>
      </c>
      <c r="AY68" s="43">
        <f t="shared" si="46"/>
        <v>1</v>
      </c>
      <c r="AZ68" s="43">
        <f t="shared" si="46"/>
        <v>1</v>
      </c>
      <c r="BA68" s="43">
        <f t="shared" si="46"/>
        <v>1</v>
      </c>
      <c r="BB68" s="43">
        <f t="shared" si="46"/>
        <v>1</v>
      </c>
      <c r="BC68" s="43">
        <f t="shared" si="46"/>
        <v>1</v>
      </c>
      <c r="BD68" s="43">
        <f t="shared" si="46"/>
        <v>1</v>
      </c>
      <c r="BE68" s="43">
        <f t="shared" si="46"/>
        <v>1</v>
      </c>
      <c r="BF68" s="43">
        <f t="shared" si="47"/>
        <v>1</v>
      </c>
      <c r="BG68" s="43">
        <f t="shared" si="47"/>
        <v>1</v>
      </c>
      <c r="BH68" s="43">
        <f t="shared" si="47"/>
        <v>1</v>
      </c>
      <c r="BI68" s="43">
        <f t="shared" si="47"/>
        <v>1</v>
      </c>
      <c r="BJ68" s="43">
        <f t="shared" si="47"/>
        <v>1</v>
      </c>
      <c r="BK68" s="43">
        <f t="shared" si="47"/>
        <v>1</v>
      </c>
      <c r="BL68" s="43">
        <f t="shared" si="47"/>
        <v>1</v>
      </c>
      <c r="BM68" s="43">
        <f t="shared" si="47"/>
        <v>1</v>
      </c>
      <c r="BN68" s="43">
        <f t="shared" si="47"/>
        <v>1</v>
      </c>
      <c r="BO68" s="43">
        <f t="shared" si="47"/>
        <v>1</v>
      </c>
      <c r="BP68" s="43">
        <f t="shared" si="48"/>
        <v>1</v>
      </c>
      <c r="BQ68" s="43">
        <f t="shared" si="48"/>
        <v>1</v>
      </c>
      <c r="BR68" s="43">
        <f t="shared" si="48"/>
        <v>0</v>
      </c>
      <c r="BS68" s="43">
        <f t="shared" si="48"/>
        <v>0</v>
      </c>
      <c r="BT68" s="43">
        <f t="shared" si="48"/>
        <v>0</v>
      </c>
      <c r="BU68" s="43">
        <f t="shared" si="48"/>
        <v>0</v>
      </c>
      <c r="BV68" s="43">
        <f t="shared" si="48"/>
        <v>0</v>
      </c>
      <c r="BW68" s="43">
        <f t="shared" si="48"/>
        <v>0</v>
      </c>
      <c r="BX68" s="43">
        <f t="shared" si="48"/>
        <v>0</v>
      </c>
      <c r="BY68" s="43">
        <f t="shared" si="48"/>
        <v>0</v>
      </c>
      <c r="BZ68" s="43">
        <f t="shared" si="48"/>
        <v>0</v>
      </c>
      <c r="CA68" s="43">
        <f t="shared" si="48"/>
        <v>0</v>
      </c>
    </row>
    <row r="69" spans="1:79" x14ac:dyDescent="0.25">
      <c r="A69" s="35">
        <v>52</v>
      </c>
      <c r="B69" s="8"/>
      <c r="C69" s="8"/>
      <c r="D69" s="8"/>
      <c r="E69" s="7"/>
      <c r="F69" s="49"/>
      <c r="G69" s="5"/>
      <c r="H69" s="10">
        <f t="shared" si="8"/>
        <v>0</v>
      </c>
      <c r="I69" s="49" t="e">
        <f>VLOOKUP(B69,База!$B$8:$I$52,3,FALSE)*60</f>
        <v>#N/A</v>
      </c>
      <c r="J69" s="35" t="e">
        <f>VLOOKUP(B69,База!$B$8:$I$52,7,FALSE)*I69</f>
        <v>#N/A</v>
      </c>
      <c r="K69" s="35" t="e">
        <f>VLOOKUP(B69,База!$B$8:$I$52,6,FALSE)</f>
        <v>#N/A</v>
      </c>
      <c r="L69" s="35" t="e">
        <f t="shared" si="35"/>
        <v>#N/A</v>
      </c>
      <c r="M69" s="9">
        <f t="shared" si="36"/>
        <v>0</v>
      </c>
      <c r="N69" s="53">
        <f t="shared" si="49"/>
        <v>612.23658315042314</v>
      </c>
      <c r="O69" s="53">
        <f t="shared" si="50"/>
        <v>612.23658315042314</v>
      </c>
      <c r="P69" s="53">
        <f t="shared" si="51"/>
        <v>0</v>
      </c>
      <c r="Q69" s="53">
        <f t="shared" si="52"/>
        <v>612.23658315042314</v>
      </c>
      <c r="R69" s="43">
        <f t="shared" si="43"/>
        <v>1</v>
      </c>
      <c r="S69" s="43">
        <f t="shared" si="43"/>
        <v>1</v>
      </c>
      <c r="T69" s="43">
        <f t="shared" si="43"/>
        <v>1</v>
      </c>
      <c r="U69" s="43">
        <f t="shared" si="43"/>
        <v>1</v>
      </c>
      <c r="V69" s="43">
        <f t="shared" si="43"/>
        <v>1</v>
      </c>
      <c r="W69" s="43">
        <f t="shared" si="43"/>
        <v>1</v>
      </c>
      <c r="X69" s="43">
        <f t="shared" si="43"/>
        <v>1</v>
      </c>
      <c r="Y69" s="43">
        <f t="shared" si="43"/>
        <v>1</v>
      </c>
      <c r="Z69" s="43">
        <f t="shared" si="43"/>
        <v>1</v>
      </c>
      <c r="AA69" s="43">
        <f t="shared" si="43"/>
        <v>1</v>
      </c>
      <c r="AB69" s="43">
        <f t="shared" si="44"/>
        <v>1</v>
      </c>
      <c r="AC69" s="43">
        <f t="shared" si="44"/>
        <v>1</v>
      </c>
      <c r="AD69" s="43">
        <f t="shared" si="44"/>
        <v>1</v>
      </c>
      <c r="AE69" s="43">
        <f t="shared" si="44"/>
        <v>1</v>
      </c>
      <c r="AF69" s="43">
        <f t="shared" si="44"/>
        <v>1</v>
      </c>
      <c r="AG69" s="43">
        <f t="shared" si="44"/>
        <v>1</v>
      </c>
      <c r="AH69" s="43">
        <f t="shared" si="44"/>
        <v>1</v>
      </c>
      <c r="AI69" s="43">
        <f t="shared" si="44"/>
        <v>1</v>
      </c>
      <c r="AJ69" s="43">
        <f t="shared" si="44"/>
        <v>1</v>
      </c>
      <c r="AK69" s="43">
        <f t="shared" si="44"/>
        <v>1</v>
      </c>
      <c r="AL69" s="43">
        <f t="shared" si="45"/>
        <v>1</v>
      </c>
      <c r="AM69" s="43">
        <f t="shared" si="45"/>
        <v>1</v>
      </c>
      <c r="AN69" s="43">
        <f t="shared" si="45"/>
        <v>1</v>
      </c>
      <c r="AO69" s="43">
        <f t="shared" si="45"/>
        <v>1</v>
      </c>
      <c r="AP69" s="43">
        <f t="shared" si="45"/>
        <v>1</v>
      </c>
      <c r="AQ69" s="43">
        <f t="shared" si="45"/>
        <v>1</v>
      </c>
      <c r="AR69" s="43">
        <f t="shared" si="45"/>
        <v>1</v>
      </c>
      <c r="AS69" s="43">
        <f t="shared" si="45"/>
        <v>1</v>
      </c>
      <c r="AT69" s="43">
        <f t="shared" si="45"/>
        <v>1</v>
      </c>
      <c r="AU69" s="43">
        <f t="shared" si="45"/>
        <v>1</v>
      </c>
      <c r="AV69" s="43">
        <f t="shared" si="46"/>
        <v>1</v>
      </c>
      <c r="AW69" s="43">
        <f t="shared" si="46"/>
        <v>1</v>
      </c>
      <c r="AX69" s="43">
        <f t="shared" si="46"/>
        <v>1</v>
      </c>
      <c r="AY69" s="43">
        <f t="shared" si="46"/>
        <v>1</v>
      </c>
      <c r="AZ69" s="43">
        <f t="shared" si="46"/>
        <v>1</v>
      </c>
      <c r="BA69" s="43">
        <f t="shared" si="46"/>
        <v>1</v>
      </c>
      <c r="BB69" s="43">
        <f t="shared" si="46"/>
        <v>1</v>
      </c>
      <c r="BC69" s="43">
        <f t="shared" si="46"/>
        <v>1</v>
      </c>
      <c r="BD69" s="43">
        <f t="shared" si="46"/>
        <v>1</v>
      </c>
      <c r="BE69" s="43">
        <f t="shared" si="46"/>
        <v>1</v>
      </c>
      <c r="BF69" s="43">
        <f t="shared" si="47"/>
        <v>1</v>
      </c>
      <c r="BG69" s="43">
        <f t="shared" si="47"/>
        <v>1</v>
      </c>
      <c r="BH69" s="43">
        <f t="shared" si="47"/>
        <v>1</v>
      </c>
      <c r="BI69" s="43">
        <f t="shared" si="47"/>
        <v>1</v>
      </c>
      <c r="BJ69" s="43">
        <f t="shared" si="47"/>
        <v>1</v>
      </c>
      <c r="BK69" s="43">
        <f t="shared" si="47"/>
        <v>1</v>
      </c>
      <c r="BL69" s="43">
        <f t="shared" si="47"/>
        <v>1</v>
      </c>
      <c r="BM69" s="43">
        <f t="shared" si="47"/>
        <v>1</v>
      </c>
      <c r="BN69" s="43">
        <f t="shared" si="47"/>
        <v>1</v>
      </c>
      <c r="BO69" s="43">
        <f t="shared" si="47"/>
        <v>1</v>
      </c>
      <c r="BP69" s="43">
        <f t="shared" si="48"/>
        <v>1</v>
      </c>
      <c r="BQ69" s="43">
        <f t="shared" si="48"/>
        <v>1</v>
      </c>
      <c r="BR69" s="43">
        <f t="shared" si="48"/>
        <v>0</v>
      </c>
      <c r="BS69" s="43">
        <f t="shared" si="48"/>
        <v>0</v>
      </c>
      <c r="BT69" s="43">
        <f t="shared" si="48"/>
        <v>0</v>
      </c>
      <c r="BU69" s="43">
        <f t="shared" si="48"/>
        <v>0</v>
      </c>
      <c r="BV69" s="43">
        <f t="shared" si="48"/>
        <v>0</v>
      </c>
      <c r="BW69" s="43">
        <f t="shared" si="48"/>
        <v>0</v>
      </c>
      <c r="BX69" s="43">
        <f t="shared" si="48"/>
        <v>0</v>
      </c>
      <c r="BY69" s="43">
        <f t="shared" si="48"/>
        <v>0</v>
      </c>
      <c r="BZ69" s="43">
        <f t="shared" si="48"/>
        <v>0</v>
      </c>
      <c r="CA69" s="43">
        <f t="shared" si="48"/>
        <v>0</v>
      </c>
    </row>
    <row r="70" spans="1:79" x14ac:dyDescent="0.25">
      <c r="A70" s="35">
        <v>53</v>
      </c>
      <c r="B70" s="8"/>
      <c r="C70" s="8"/>
      <c r="D70" s="8"/>
      <c r="E70" s="7"/>
      <c r="F70" s="49"/>
      <c r="G70" s="5"/>
      <c r="H70" s="10">
        <f t="shared" si="8"/>
        <v>0</v>
      </c>
      <c r="I70" s="49" t="e">
        <f>VLOOKUP(B70,База!$B$8:$I$52,3,FALSE)*60</f>
        <v>#N/A</v>
      </c>
      <c r="J70" s="35" t="e">
        <f>VLOOKUP(B70,База!$B$8:$I$52,7,FALSE)*I70</f>
        <v>#N/A</v>
      </c>
      <c r="K70" s="35" t="e">
        <f>VLOOKUP(B70,База!$B$8:$I$52,6,FALSE)</f>
        <v>#N/A</v>
      </c>
      <c r="L70" s="35" t="e">
        <f t="shared" si="35"/>
        <v>#N/A</v>
      </c>
      <c r="M70" s="9">
        <f t="shared" si="36"/>
        <v>0</v>
      </c>
      <c r="N70" s="53">
        <f t="shared" si="49"/>
        <v>612.23658315042314</v>
      </c>
      <c r="O70" s="53">
        <f t="shared" si="50"/>
        <v>612.23658315042314</v>
      </c>
      <c r="P70" s="53">
        <f t="shared" si="51"/>
        <v>0</v>
      </c>
      <c r="Q70" s="53">
        <f t="shared" si="52"/>
        <v>612.23658315042314</v>
      </c>
      <c r="R70" s="43">
        <f t="shared" si="43"/>
        <v>1</v>
      </c>
      <c r="S70" s="43">
        <f t="shared" si="43"/>
        <v>1</v>
      </c>
      <c r="T70" s="43">
        <f t="shared" si="43"/>
        <v>1</v>
      </c>
      <c r="U70" s="43">
        <f t="shared" si="43"/>
        <v>1</v>
      </c>
      <c r="V70" s="43">
        <f t="shared" si="43"/>
        <v>1</v>
      </c>
      <c r="W70" s="43">
        <f t="shared" si="43"/>
        <v>1</v>
      </c>
      <c r="X70" s="43">
        <f t="shared" si="43"/>
        <v>1</v>
      </c>
      <c r="Y70" s="43">
        <f t="shared" si="43"/>
        <v>1</v>
      </c>
      <c r="Z70" s="43">
        <f t="shared" si="43"/>
        <v>1</v>
      </c>
      <c r="AA70" s="43">
        <f t="shared" si="43"/>
        <v>1</v>
      </c>
      <c r="AB70" s="43">
        <f t="shared" si="44"/>
        <v>1</v>
      </c>
      <c r="AC70" s="43">
        <f t="shared" si="44"/>
        <v>1</v>
      </c>
      <c r="AD70" s="43">
        <f t="shared" si="44"/>
        <v>1</v>
      </c>
      <c r="AE70" s="43">
        <f t="shared" si="44"/>
        <v>1</v>
      </c>
      <c r="AF70" s="43">
        <f t="shared" si="44"/>
        <v>1</v>
      </c>
      <c r="AG70" s="43">
        <f t="shared" si="44"/>
        <v>1</v>
      </c>
      <c r="AH70" s="43">
        <f t="shared" si="44"/>
        <v>1</v>
      </c>
      <c r="AI70" s="43">
        <f t="shared" si="44"/>
        <v>1</v>
      </c>
      <c r="AJ70" s="43">
        <f t="shared" si="44"/>
        <v>1</v>
      </c>
      <c r="AK70" s="43">
        <f t="shared" si="44"/>
        <v>1</v>
      </c>
      <c r="AL70" s="43">
        <f t="shared" si="45"/>
        <v>1</v>
      </c>
      <c r="AM70" s="43">
        <f t="shared" si="45"/>
        <v>1</v>
      </c>
      <c r="AN70" s="43">
        <f t="shared" si="45"/>
        <v>1</v>
      </c>
      <c r="AO70" s="43">
        <f t="shared" si="45"/>
        <v>1</v>
      </c>
      <c r="AP70" s="43">
        <f t="shared" si="45"/>
        <v>1</v>
      </c>
      <c r="AQ70" s="43">
        <f t="shared" si="45"/>
        <v>1</v>
      </c>
      <c r="AR70" s="43">
        <f t="shared" si="45"/>
        <v>1</v>
      </c>
      <c r="AS70" s="43">
        <f t="shared" si="45"/>
        <v>1</v>
      </c>
      <c r="AT70" s="43">
        <f t="shared" si="45"/>
        <v>1</v>
      </c>
      <c r="AU70" s="43">
        <f t="shared" si="45"/>
        <v>1</v>
      </c>
      <c r="AV70" s="43">
        <f t="shared" si="46"/>
        <v>1</v>
      </c>
      <c r="AW70" s="43">
        <f t="shared" si="46"/>
        <v>1</v>
      </c>
      <c r="AX70" s="43">
        <f t="shared" si="46"/>
        <v>1</v>
      </c>
      <c r="AY70" s="43">
        <f t="shared" si="46"/>
        <v>1</v>
      </c>
      <c r="AZ70" s="43">
        <f t="shared" si="46"/>
        <v>1</v>
      </c>
      <c r="BA70" s="43">
        <f t="shared" si="46"/>
        <v>1</v>
      </c>
      <c r="BB70" s="43">
        <f t="shared" si="46"/>
        <v>1</v>
      </c>
      <c r="BC70" s="43">
        <f t="shared" si="46"/>
        <v>1</v>
      </c>
      <c r="BD70" s="43">
        <f t="shared" si="46"/>
        <v>1</v>
      </c>
      <c r="BE70" s="43">
        <f t="shared" si="46"/>
        <v>1</v>
      </c>
      <c r="BF70" s="43">
        <f t="shared" si="47"/>
        <v>1</v>
      </c>
      <c r="BG70" s="43">
        <f t="shared" si="47"/>
        <v>1</v>
      </c>
      <c r="BH70" s="43">
        <f t="shared" si="47"/>
        <v>1</v>
      </c>
      <c r="BI70" s="43">
        <f t="shared" si="47"/>
        <v>1</v>
      </c>
      <c r="BJ70" s="43">
        <f t="shared" si="47"/>
        <v>1</v>
      </c>
      <c r="BK70" s="43">
        <f t="shared" si="47"/>
        <v>1</v>
      </c>
      <c r="BL70" s="43">
        <f t="shared" si="47"/>
        <v>1</v>
      </c>
      <c r="BM70" s="43">
        <f t="shared" si="47"/>
        <v>1</v>
      </c>
      <c r="BN70" s="43">
        <f t="shared" si="47"/>
        <v>1</v>
      </c>
      <c r="BO70" s="43">
        <f t="shared" si="47"/>
        <v>1</v>
      </c>
      <c r="BP70" s="43">
        <f t="shared" si="48"/>
        <v>1</v>
      </c>
      <c r="BQ70" s="43">
        <f t="shared" si="48"/>
        <v>1</v>
      </c>
      <c r="BR70" s="43">
        <f t="shared" si="48"/>
        <v>0</v>
      </c>
      <c r="BS70" s="43">
        <f t="shared" si="48"/>
        <v>0</v>
      </c>
      <c r="BT70" s="43">
        <f t="shared" si="48"/>
        <v>0</v>
      </c>
      <c r="BU70" s="43">
        <f t="shared" si="48"/>
        <v>0</v>
      </c>
      <c r="BV70" s="43">
        <f t="shared" si="48"/>
        <v>0</v>
      </c>
      <c r="BW70" s="43">
        <f t="shared" si="48"/>
        <v>0</v>
      </c>
      <c r="BX70" s="43">
        <f t="shared" si="48"/>
        <v>0</v>
      </c>
      <c r="BY70" s="43">
        <f t="shared" si="48"/>
        <v>0</v>
      </c>
      <c r="BZ70" s="43">
        <f t="shared" si="48"/>
        <v>0</v>
      </c>
      <c r="CA70" s="43">
        <f t="shared" si="48"/>
        <v>0</v>
      </c>
    </row>
    <row r="71" spans="1:79" x14ac:dyDescent="0.25">
      <c r="A71" s="35">
        <v>54</v>
      </c>
      <c r="B71" s="8"/>
      <c r="C71" s="8"/>
      <c r="D71" s="8"/>
      <c r="E71" s="7"/>
      <c r="F71" s="49"/>
      <c r="G71" s="5"/>
      <c r="H71" s="10">
        <f t="shared" si="8"/>
        <v>0</v>
      </c>
      <c r="I71" s="49" t="e">
        <f>VLOOKUP(B71,База!$B$8:$I$52,3,FALSE)*60</f>
        <v>#N/A</v>
      </c>
      <c r="J71" s="35" t="e">
        <f>VLOOKUP(B71,База!$B$8:$I$52,7,FALSE)*I71</f>
        <v>#N/A</v>
      </c>
      <c r="K71" s="35" t="e">
        <f>VLOOKUP(B71,База!$B$8:$I$52,6,FALSE)</f>
        <v>#N/A</v>
      </c>
      <c r="L71" s="35" t="e">
        <f t="shared" si="35"/>
        <v>#N/A</v>
      </c>
      <c r="M71" s="9">
        <f t="shared" si="36"/>
        <v>0</v>
      </c>
      <c r="N71" s="53">
        <f t="shared" si="49"/>
        <v>612.23658315042314</v>
      </c>
      <c r="O71" s="53">
        <f t="shared" si="50"/>
        <v>612.23658315042314</v>
      </c>
      <c r="P71" s="53">
        <f t="shared" si="51"/>
        <v>0</v>
      </c>
      <c r="Q71" s="53">
        <f t="shared" si="52"/>
        <v>612.23658315042314</v>
      </c>
      <c r="R71" s="43">
        <f t="shared" si="43"/>
        <v>1</v>
      </c>
      <c r="S71" s="43">
        <f t="shared" si="43"/>
        <v>1</v>
      </c>
      <c r="T71" s="43">
        <f t="shared" si="43"/>
        <v>1</v>
      </c>
      <c r="U71" s="43">
        <f t="shared" si="43"/>
        <v>1</v>
      </c>
      <c r="V71" s="43">
        <f t="shared" si="43"/>
        <v>1</v>
      </c>
      <c r="W71" s="43">
        <f t="shared" si="43"/>
        <v>1</v>
      </c>
      <c r="X71" s="43">
        <f t="shared" si="43"/>
        <v>1</v>
      </c>
      <c r="Y71" s="43">
        <f t="shared" si="43"/>
        <v>1</v>
      </c>
      <c r="Z71" s="43">
        <f t="shared" si="43"/>
        <v>1</v>
      </c>
      <c r="AA71" s="43">
        <f t="shared" si="43"/>
        <v>1</v>
      </c>
      <c r="AB71" s="43">
        <f t="shared" si="44"/>
        <v>1</v>
      </c>
      <c r="AC71" s="43">
        <f t="shared" si="44"/>
        <v>1</v>
      </c>
      <c r="AD71" s="43">
        <f t="shared" si="44"/>
        <v>1</v>
      </c>
      <c r="AE71" s="43">
        <f t="shared" si="44"/>
        <v>1</v>
      </c>
      <c r="AF71" s="43">
        <f t="shared" si="44"/>
        <v>1</v>
      </c>
      <c r="AG71" s="43">
        <f t="shared" si="44"/>
        <v>1</v>
      </c>
      <c r="AH71" s="43">
        <f t="shared" si="44"/>
        <v>1</v>
      </c>
      <c r="AI71" s="43">
        <f t="shared" si="44"/>
        <v>1</v>
      </c>
      <c r="AJ71" s="43">
        <f t="shared" si="44"/>
        <v>1</v>
      </c>
      <c r="AK71" s="43">
        <f t="shared" si="44"/>
        <v>1</v>
      </c>
      <c r="AL71" s="43">
        <f t="shared" si="45"/>
        <v>1</v>
      </c>
      <c r="AM71" s="43">
        <f t="shared" si="45"/>
        <v>1</v>
      </c>
      <c r="AN71" s="43">
        <f t="shared" si="45"/>
        <v>1</v>
      </c>
      <c r="AO71" s="43">
        <f t="shared" si="45"/>
        <v>1</v>
      </c>
      <c r="AP71" s="43">
        <f t="shared" si="45"/>
        <v>1</v>
      </c>
      <c r="AQ71" s="43">
        <f t="shared" si="45"/>
        <v>1</v>
      </c>
      <c r="AR71" s="43">
        <f t="shared" si="45"/>
        <v>1</v>
      </c>
      <c r="AS71" s="43">
        <f t="shared" si="45"/>
        <v>1</v>
      </c>
      <c r="AT71" s="43">
        <f t="shared" si="45"/>
        <v>1</v>
      </c>
      <c r="AU71" s="43">
        <f t="shared" si="45"/>
        <v>1</v>
      </c>
      <c r="AV71" s="43">
        <f t="shared" si="46"/>
        <v>1</v>
      </c>
      <c r="AW71" s="43">
        <f t="shared" si="46"/>
        <v>1</v>
      </c>
      <c r="AX71" s="43">
        <f t="shared" si="46"/>
        <v>1</v>
      </c>
      <c r="AY71" s="43">
        <f t="shared" si="46"/>
        <v>1</v>
      </c>
      <c r="AZ71" s="43">
        <f t="shared" si="46"/>
        <v>1</v>
      </c>
      <c r="BA71" s="43">
        <f t="shared" si="46"/>
        <v>1</v>
      </c>
      <c r="BB71" s="43">
        <f t="shared" si="46"/>
        <v>1</v>
      </c>
      <c r="BC71" s="43">
        <f t="shared" si="46"/>
        <v>1</v>
      </c>
      <c r="BD71" s="43">
        <f t="shared" si="46"/>
        <v>1</v>
      </c>
      <c r="BE71" s="43">
        <f t="shared" si="46"/>
        <v>1</v>
      </c>
      <c r="BF71" s="43">
        <f t="shared" si="47"/>
        <v>1</v>
      </c>
      <c r="BG71" s="43">
        <f t="shared" si="47"/>
        <v>1</v>
      </c>
      <c r="BH71" s="43">
        <f t="shared" si="47"/>
        <v>1</v>
      </c>
      <c r="BI71" s="43">
        <f t="shared" si="47"/>
        <v>1</v>
      </c>
      <c r="BJ71" s="43">
        <f t="shared" si="47"/>
        <v>1</v>
      </c>
      <c r="BK71" s="43">
        <f t="shared" si="47"/>
        <v>1</v>
      </c>
      <c r="BL71" s="43">
        <f t="shared" si="47"/>
        <v>1</v>
      </c>
      <c r="BM71" s="43">
        <f t="shared" si="47"/>
        <v>1</v>
      </c>
      <c r="BN71" s="43">
        <f t="shared" si="47"/>
        <v>1</v>
      </c>
      <c r="BO71" s="43">
        <f t="shared" si="47"/>
        <v>1</v>
      </c>
      <c r="BP71" s="43">
        <f t="shared" si="48"/>
        <v>1</v>
      </c>
      <c r="BQ71" s="43">
        <f t="shared" si="48"/>
        <v>1</v>
      </c>
      <c r="BR71" s="43">
        <f t="shared" si="48"/>
        <v>0</v>
      </c>
      <c r="BS71" s="43">
        <f t="shared" si="48"/>
        <v>0</v>
      </c>
      <c r="BT71" s="43">
        <f t="shared" si="48"/>
        <v>0</v>
      </c>
      <c r="BU71" s="43">
        <f t="shared" si="48"/>
        <v>0</v>
      </c>
      <c r="BV71" s="43">
        <f t="shared" si="48"/>
        <v>0</v>
      </c>
      <c r="BW71" s="43">
        <f t="shared" si="48"/>
        <v>0</v>
      </c>
      <c r="BX71" s="43">
        <f t="shared" si="48"/>
        <v>0</v>
      </c>
      <c r="BY71" s="43">
        <f t="shared" si="48"/>
        <v>0</v>
      </c>
      <c r="BZ71" s="43">
        <f t="shared" si="48"/>
        <v>0</v>
      </c>
      <c r="CA71" s="43">
        <f t="shared" si="48"/>
        <v>0</v>
      </c>
    </row>
    <row r="72" spans="1:79" x14ac:dyDescent="0.25">
      <c r="A72" s="35">
        <v>55</v>
      </c>
      <c r="B72" s="8"/>
      <c r="C72" s="8"/>
      <c r="D72" s="8"/>
      <c r="E72" s="7"/>
      <c r="F72" s="49"/>
      <c r="G72" s="5"/>
      <c r="H72" s="10">
        <f t="shared" si="8"/>
        <v>0</v>
      </c>
      <c r="I72" s="49" t="e">
        <f>VLOOKUP(B72,База!$B$8:$I$52,3,FALSE)*60</f>
        <v>#N/A</v>
      </c>
      <c r="J72" s="35" t="e">
        <f>VLOOKUP(B72,База!$B$8:$I$52,7,FALSE)*I72</f>
        <v>#N/A</v>
      </c>
      <c r="K72" s="35" t="e">
        <f>VLOOKUP(B72,База!$B$8:$I$52,6,FALSE)</f>
        <v>#N/A</v>
      </c>
      <c r="L72" s="35" t="e">
        <f t="shared" si="35"/>
        <v>#N/A</v>
      </c>
      <c r="M72" s="9">
        <f t="shared" si="36"/>
        <v>0</v>
      </c>
      <c r="N72" s="53">
        <f t="shared" si="49"/>
        <v>612.23658315042314</v>
      </c>
      <c r="O72" s="53">
        <f t="shared" si="50"/>
        <v>612.23658315042314</v>
      </c>
      <c r="P72" s="53">
        <f t="shared" si="51"/>
        <v>0</v>
      </c>
      <c r="Q72" s="53">
        <f t="shared" si="52"/>
        <v>612.23658315042314</v>
      </c>
      <c r="R72" s="43">
        <f t="shared" ref="R72:AA81" si="53">IF($Q72&gt;R$10,IF($Q72-$P72&lt;=R$10,$L72,1),0)</f>
        <v>1</v>
      </c>
      <c r="S72" s="43">
        <f t="shared" si="53"/>
        <v>1</v>
      </c>
      <c r="T72" s="43">
        <f t="shared" si="53"/>
        <v>1</v>
      </c>
      <c r="U72" s="43">
        <f t="shared" si="53"/>
        <v>1</v>
      </c>
      <c r="V72" s="43">
        <f t="shared" si="53"/>
        <v>1</v>
      </c>
      <c r="W72" s="43">
        <f t="shared" si="53"/>
        <v>1</v>
      </c>
      <c r="X72" s="43">
        <f t="shared" si="53"/>
        <v>1</v>
      </c>
      <c r="Y72" s="43">
        <f t="shared" si="53"/>
        <v>1</v>
      </c>
      <c r="Z72" s="43">
        <f t="shared" si="53"/>
        <v>1</v>
      </c>
      <c r="AA72" s="43">
        <f t="shared" si="53"/>
        <v>1</v>
      </c>
      <c r="AB72" s="43">
        <f t="shared" ref="AB72:AK81" si="54">IF($Q72&gt;AB$10,IF($Q72-$P72&lt;=AB$10,$L72,1),0)</f>
        <v>1</v>
      </c>
      <c r="AC72" s="43">
        <f t="shared" si="54"/>
        <v>1</v>
      </c>
      <c r="AD72" s="43">
        <f t="shared" si="54"/>
        <v>1</v>
      </c>
      <c r="AE72" s="43">
        <f t="shared" si="54"/>
        <v>1</v>
      </c>
      <c r="AF72" s="43">
        <f t="shared" si="54"/>
        <v>1</v>
      </c>
      <c r="AG72" s="43">
        <f t="shared" si="54"/>
        <v>1</v>
      </c>
      <c r="AH72" s="43">
        <f t="shared" si="54"/>
        <v>1</v>
      </c>
      <c r="AI72" s="43">
        <f t="shared" si="54"/>
        <v>1</v>
      </c>
      <c r="AJ72" s="43">
        <f t="shared" si="54"/>
        <v>1</v>
      </c>
      <c r="AK72" s="43">
        <f t="shared" si="54"/>
        <v>1</v>
      </c>
      <c r="AL72" s="43">
        <f t="shared" ref="AL72:AU81" si="55">IF($Q72&gt;AL$10,IF($Q72-$P72&lt;=AL$10,$L72,1),0)</f>
        <v>1</v>
      </c>
      <c r="AM72" s="43">
        <f t="shared" si="55"/>
        <v>1</v>
      </c>
      <c r="AN72" s="43">
        <f t="shared" si="55"/>
        <v>1</v>
      </c>
      <c r="AO72" s="43">
        <f t="shared" si="55"/>
        <v>1</v>
      </c>
      <c r="AP72" s="43">
        <f t="shared" si="55"/>
        <v>1</v>
      </c>
      <c r="AQ72" s="43">
        <f t="shared" si="55"/>
        <v>1</v>
      </c>
      <c r="AR72" s="43">
        <f t="shared" si="55"/>
        <v>1</v>
      </c>
      <c r="AS72" s="43">
        <f t="shared" si="55"/>
        <v>1</v>
      </c>
      <c r="AT72" s="43">
        <f t="shared" si="55"/>
        <v>1</v>
      </c>
      <c r="AU72" s="43">
        <f t="shared" si="55"/>
        <v>1</v>
      </c>
      <c r="AV72" s="43">
        <f t="shared" ref="AV72:BE81" si="56">IF($Q72&gt;AV$10,IF($Q72-$P72&lt;=AV$10,$L72,1),0)</f>
        <v>1</v>
      </c>
      <c r="AW72" s="43">
        <f t="shared" si="56"/>
        <v>1</v>
      </c>
      <c r="AX72" s="43">
        <f t="shared" si="56"/>
        <v>1</v>
      </c>
      <c r="AY72" s="43">
        <f t="shared" si="56"/>
        <v>1</v>
      </c>
      <c r="AZ72" s="43">
        <f t="shared" si="56"/>
        <v>1</v>
      </c>
      <c r="BA72" s="43">
        <f t="shared" si="56"/>
        <v>1</v>
      </c>
      <c r="BB72" s="43">
        <f t="shared" si="56"/>
        <v>1</v>
      </c>
      <c r="BC72" s="43">
        <f t="shared" si="56"/>
        <v>1</v>
      </c>
      <c r="BD72" s="43">
        <f t="shared" si="56"/>
        <v>1</v>
      </c>
      <c r="BE72" s="43">
        <f t="shared" si="56"/>
        <v>1</v>
      </c>
      <c r="BF72" s="43">
        <f t="shared" ref="BF72:BO81" si="57">IF($Q72&gt;BF$10,IF($Q72-$P72&lt;=BF$10,$L72,1),0)</f>
        <v>1</v>
      </c>
      <c r="BG72" s="43">
        <f t="shared" si="57"/>
        <v>1</v>
      </c>
      <c r="BH72" s="43">
        <f t="shared" si="57"/>
        <v>1</v>
      </c>
      <c r="BI72" s="43">
        <f t="shared" si="57"/>
        <v>1</v>
      </c>
      <c r="BJ72" s="43">
        <f t="shared" si="57"/>
        <v>1</v>
      </c>
      <c r="BK72" s="43">
        <f t="shared" si="57"/>
        <v>1</v>
      </c>
      <c r="BL72" s="43">
        <f t="shared" si="57"/>
        <v>1</v>
      </c>
      <c r="BM72" s="43">
        <f t="shared" si="57"/>
        <v>1</v>
      </c>
      <c r="BN72" s="43">
        <f t="shared" si="57"/>
        <v>1</v>
      </c>
      <c r="BO72" s="43">
        <f t="shared" si="57"/>
        <v>1</v>
      </c>
      <c r="BP72" s="43">
        <f t="shared" ref="BP72:CA81" si="58">IF($Q72&gt;BP$10,IF($Q72-$P72&lt;=BP$10,$L72,1),0)</f>
        <v>1</v>
      </c>
      <c r="BQ72" s="43">
        <f t="shared" si="58"/>
        <v>1</v>
      </c>
      <c r="BR72" s="43">
        <f t="shared" si="58"/>
        <v>0</v>
      </c>
      <c r="BS72" s="43">
        <f t="shared" si="58"/>
        <v>0</v>
      </c>
      <c r="BT72" s="43">
        <f t="shared" si="58"/>
        <v>0</v>
      </c>
      <c r="BU72" s="43">
        <f t="shared" si="58"/>
        <v>0</v>
      </c>
      <c r="BV72" s="43">
        <f t="shared" si="58"/>
        <v>0</v>
      </c>
      <c r="BW72" s="43">
        <f t="shared" si="58"/>
        <v>0</v>
      </c>
      <c r="BX72" s="43">
        <f t="shared" si="58"/>
        <v>0</v>
      </c>
      <c r="BY72" s="43">
        <f t="shared" si="58"/>
        <v>0</v>
      </c>
      <c r="BZ72" s="43">
        <f t="shared" si="58"/>
        <v>0</v>
      </c>
      <c r="CA72" s="43">
        <f t="shared" si="58"/>
        <v>0</v>
      </c>
    </row>
    <row r="73" spans="1:79" x14ac:dyDescent="0.25">
      <c r="A73" s="35">
        <v>56</v>
      </c>
      <c r="B73" s="8"/>
      <c r="C73" s="8"/>
      <c r="D73" s="8"/>
      <c r="E73" s="7"/>
      <c r="F73" s="49"/>
      <c r="G73" s="5"/>
      <c r="H73" s="10">
        <f t="shared" si="8"/>
        <v>0</v>
      </c>
      <c r="I73" s="49" t="e">
        <f>VLOOKUP(B73,База!$B$8:$I$52,3,FALSE)*60</f>
        <v>#N/A</v>
      </c>
      <c r="J73" s="35" t="e">
        <f>VLOOKUP(B73,База!$B$8:$I$52,7,FALSE)*I73</f>
        <v>#N/A</v>
      </c>
      <c r="K73" s="35" t="e">
        <f>VLOOKUP(B73,База!$B$8:$I$52,6,FALSE)</f>
        <v>#N/A</v>
      </c>
      <c r="L73" s="35" t="e">
        <f t="shared" si="35"/>
        <v>#N/A</v>
      </c>
      <c r="M73" s="9">
        <f t="shared" si="36"/>
        <v>0</v>
      </c>
      <c r="N73" s="53">
        <f t="shared" si="49"/>
        <v>612.23658315042314</v>
      </c>
      <c r="O73" s="53">
        <f t="shared" si="50"/>
        <v>612.23658315042314</v>
      </c>
      <c r="P73" s="53">
        <f t="shared" si="51"/>
        <v>0</v>
      </c>
      <c r="Q73" s="53">
        <f t="shared" si="52"/>
        <v>612.23658315042314</v>
      </c>
      <c r="R73" s="43">
        <f t="shared" si="53"/>
        <v>1</v>
      </c>
      <c r="S73" s="43">
        <f t="shared" si="53"/>
        <v>1</v>
      </c>
      <c r="T73" s="43">
        <f t="shared" si="53"/>
        <v>1</v>
      </c>
      <c r="U73" s="43">
        <f t="shared" si="53"/>
        <v>1</v>
      </c>
      <c r="V73" s="43">
        <f t="shared" si="53"/>
        <v>1</v>
      </c>
      <c r="W73" s="43">
        <f t="shared" si="53"/>
        <v>1</v>
      </c>
      <c r="X73" s="43">
        <f t="shared" si="53"/>
        <v>1</v>
      </c>
      <c r="Y73" s="43">
        <f t="shared" si="53"/>
        <v>1</v>
      </c>
      <c r="Z73" s="43">
        <f t="shared" si="53"/>
        <v>1</v>
      </c>
      <c r="AA73" s="43">
        <f t="shared" si="53"/>
        <v>1</v>
      </c>
      <c r="AB73" s="43">
        <f t="shared" si="54"/>
        <v>1</v>
      </c>
      <c r="AC73" s="43">
        <f t="shared" si="54"/>
        <v>1</v>
      </c>
      <c r="AD73" s="43">
        <f t="shared" si="54"/>
        <v>1</v>
      </c>
      <c r="AE73" s="43">
        <f t="shared" si="54"/>
        <v>1</v>
      </c>
      <c r="AF73" s="43">
        <f t="shared" si="54"/>
        <v>1</v>
      </c>
      <c r="AG73" s="43">
        <f t="shared" si="54"/>
        <v>1</v>
      </c>
      <c r="AH73" s="43">
        <f t="shared" si="54"/>
        <v>1</v>
      </c>
      <c r="AI73" s="43">
        <f t="shared" si="54"/>
        <v>1</v>
      </c>
      <c r="AJ73" s="43">
        <f t="shared" si="54"/>
        <v>1</v>
      </c>
      <c r="AK73" s="43">
        <f t="shared" si="54"/>
        <v>1</v>
      </c>
      <c r="AL73" s="43">
        <f t="shared" si="55"/>
        <v>1</v>
      </c>
      <c r="AM73" s="43">
        <f t="shared" si="55"/>
        <v>1</v>
      </c>
      <c r="AN73" s="43">
        <f t="shared" si="55"/>
        <v>1</v>
      </c>
      <c r="AO73" s="43">
        <f t="shared" si="55"/>
        <v>1</v>
      </c>
      <c r="AP73" s="43">
        <f t="shared" si="55"/>
        <v>1</v>
      </c>
      <c r="AQ73" s="43">
        <f t="shared" si="55"/>
        <v>1</v>
      </c>
      <c r="AR73" s="43">
        <f t="shared" si="55"/>
        <v>1</v>
      </c>
      <c r="AS73" s="43">
        <f t="shared" si="55"/>
        <v>1</v>
      </c>
      <c r="AT73" s="43">
        <f t="shared" si="55"/>
        <v>1</v>
      </c>
      <c r="AU73" s="43">
        <f t="shared" si="55"/>
        <v>1</v>
      </c>
      <c r="AV73" s="43">
        <f t="shared" si="56"/>
        <v>1</v>
      </c>
      <c r="AW73" s="43">
        <f t="shared" si="56"/>
        <v>1</v>
      </c>
      <c r="AX73" s="43">
        <f t="shared" si="56"/>
        <v>1</v>
      </c>
      <c r="AY73" s="43">
        <f t="shared" si="56"/>
        <v>1</v>
      </c>
      <c r="AZ73" s="43">
        <f t="shared" si="56"/>
        <v>1</v>
      </c>
      <c r="BA73" s="43">
        <f t="shared" si="56"/>
        <v>1</v>
      </c>
      <c r="BB73" s="43">
        <f t="shared" si="56"/>
        <v>1</v>
      </c>
      <c r="BC73" s="43">
        <f t="shared" si="56"/>
        <v>1</v>
      </c>
      <c r="BD73" s="43">
        <f t="shared" si="56"/>
        <v>1</v>
      </c>
      <c r="BE73" s="43">
        <f t="shared" si="56"/>
        <v>1</v>
      </c>
      <c r="BF73" s="43">
        <f t="shared" si="57"/>
        <v>1</v>
      </c>
      <c r="BG73" s="43">
        <f t="shared" si="57"/>
        <v>1</v>
      </c>
      <c r="BH73" s="43">
        <f t="shared" si="57"/>
        <v>1</v>
      </c>
      <c r="BI73" s="43">
        <f t="shared" si="57"/>
        <v>1</v>
      </c>
      <c r="BJ73" s="43">
        <f t="shared" si="57"/>
        <v>1</v>
      </c>
      <c r="BK73" s="43">
        <f t="shared" si="57"/>
        <v>1</v>
      </c>
      <c r="BL73" s="43">
        <f t="shared" si="57"/>
        <v>1</v>
      </c>
      <c r="BM73" s="43">
        <f t="shared" si="57"/>
        <v>1</v>
      </c>
      <c r="BN73" s="43">
        <f t="shared" si="57"/>
        <v>1</v>
      </c>
      <c r="BO73" s="43">
        <f t="shared" si="57"/>
        <v>1</v>
      </c>
      <c r="BP73" s="43">
        <f t="shared" si="58"/>
        <v>1</v>
      </c>
      <c r="BQ73" s="43">
        <f t="shared" si="58"/>
        <v>1</v>
      </c>
      <c r="BR73" s="43">
        <f t="shared" si="58"/>
        <v>0</v>
      </c>
      <c r="BS73" s="43">
        <f t="shared" si="58"/>
        <v>0</v>
      </c>
      <c r="BT73" s="43">
        <f t="shared" si="58"/>
        <v>0</v>
      </c>
      <c r="BU73" s="43">
        <f t="shared" si="58"/>
        <v>0</v>
      </c>
      <c r="BV73" s="43">
        <f t="shared" si="58"/>
        <v>0</v>
      </c>
      <c r="BW73" s="43">
        <f t="shared" si="58"/>
        <v>0</v>
      </c>
      <c r="BX73" s="43">
        <f t="shared" si="58"/>
        <v>0</v>
      </c>
      <c r="BY73" s="43">
        <f t="shared" si="58"/>
        <v>0</v>
      </c>
      <c r="BZ73" s="43">
        <f t="shared" si="58"/>
        <v>0</v>
      </c>
      <c r="CA73" s="43">
        <f t="shared" si="58"/>
        <v>0</v>
      </c>
    </row>
    <row r="74" spans="1:79" x14ac:dyDescent="0.25">
      <c r="A74" s="35">
        <v>57</v>
      </c>
      <c r="B74" s="8"/>
      <c r="C74" s="8"/>
      <c r="D74" s="8"/>
      <c r="E74" s="7"/>
      <c r="F74" s="49"/>
      <c r="G74" s="5"/>
      <c r="H74" s="10">
        <f t="shared" si="8"/>
        <v>0</v>
      </c>
      <c r="I74" s="49" t="e">
        <f>VLOOKUP(B74,База!$B$8:$I$52,3,FALSE)*60</f>
        <v>#N/A</v>
      </c>
      <c r="J74" s="35" t="e">
        <f>VLOOKUP(B74,База!$B$8:$I$52,7,FALSE)*I74</f>
        <v>#N/A</v>
      </c>
      <c r="K74" s="35" t="e">
        <f>VLOOKUP(B74,База!$B$8:$I$52,6,FALSE)</f>
        <v>#N/A</v>
      </c>
      <c r="L74" s="35" t="e">
        <f t="shared" si="35"/>
        <v>#N/A</v>
      </c>
      <c r="M74" s="9">
        <f t="shared" si="36"/>
        <v>0</v>
      </c>
      <c r="N74" s="53">
        <f t="shared" si="49"/>
        <v>612.23658315042314</v>
      </c>
      <c r="O74" s="53">
        <f t="shared" si="50"/>
        <v>612.23658315042314</v>
      </c>
      <c r="P74" s="53">
        <f t="shared" si="51"/>
        <v>0</v>
      </c>
      <c r="Q74" s="53">
        <f t="shared" si="52"/>
        <v>612.23658315042314</v>
      </c>
      <c r="R74" s="43">
        <f t="shared" si="53"/>
        <v>1</v>
      </c>
      <c r="S74" s="43">
        <f t="shared" si="53"/>
        <v>1</v>
      </c>
      <c r="T74" s="43">
        <f t="shared" si="53"/>
        <v>1</v>
      </c>
      <c r="U74" s="43">
        <f t="shared" si="53"/>
        <v>1</v>
      </c>
      <c r="V74" s="43">
        <f t="shared" si="53"/>
        <v>1</v>
      </c>
      <c r="W74" s="43">
        <f t="shared" si="53"/>
        <v>1</v>
      </c>
      <c r="X74" s="43">
        <f t="shared" si="53"/>
        <v>1</v>
      </c>
      <c r="Y74" s="43">
        <f t="shared" si="53"/>
        <v>1</v>
      </c>
      <c r="Z74" s="43">
        <f t="shared" si="53"/>
        <v>1</v>
      </c>
      <c r="AA74" s="43">
        <f t="shared" si="53"/>
        <v>1</v>
      </c>
      <c r="AB74" s="43">
        <f t="shared" si="54"/>
        <v>1</v>
      </c>
      <c r="AC74" s="43">
        <f t="shared" si="54"/>
        <v>1</v>
      </c>
      <c r="AD74" s="43">
        <f t="shared" si="54"/>
        <v>1</v>
      </c>
      <c r="AE74" s="43">
        <f t="shared" si="54"/>
        <v>1</v>
      </c>
      <c r="AF74" s="43">
        <f t="shared" si="54"/>
        <v>1</v>
      </c>
      <c r="AG74" s="43">
        <f t="shared" si="54"/>
        <v>1</v>
      </c>
      <c r="AH74" s="43">
        <f t="shared" si="54"/>
        <v>1</v>
      </c>
      <c r="AI74" s="43">
        <f t="shared" si="54"/>
        <v>1</v>
      </c>
      <c r="AJ74" s="43">
        <f t="shared" si="54"/>
        <v>1</v>
      </c>
      <c r="AK74" s="43">
        <f t="shared" si="54"/>
        <v>1</v>
      </c>
      <c r="AL74" s="43">
        <f t="shared" si="55"/>
        <v>1</v>
      </c>
      <c r="AM74" s="43">
        <f t="shared" si="55"/>
        <v>1</v>
      </c>
      <c r="AN74" s="43">
        <f t="shared" si="55"/>
        <v>1</v>
      </c>
      <c r="AO74" s="43">
        <f t="shared" si="55"/>
        <v>1</v>
      </c>
      <c r="AP74" s="43">
        <f t="shared" si="55"/>
        <v>1</v>
      </c>
      <c r="AQ74" s="43">
        <f t="shared" si="55"/>
        <v>1</v>
      </c>
      <c r="AR74" s="43">
        <f t="shared" si="55"/>
        <v>1</v>
      </c>
      <c r="AS74" s="43">
        <f t="shared" si="55"/>
        <v>1</v>
      </c>
      <c r="AT74" s="43">
        <f t="shared" si="55"/>
        <v>1</v>
      </c>
      <c r="AU74" s="43">
        <f t="shared" si="55"/>
        <v>1</v>
      </c>
      <c r="AV74" s="43">
        <f t="shared" si="56"/>
        <v>1</v>
      </c>
      <c r="AW74" s="43">
        <f t="shared" si="56"/>
        <v>1</v>
      </c>
      <c r="AX74" s="43">
        <f t="shared" si="56"/>
        <v>1</v>
      </c>
      <c r="AY74" s="43">
        <f t="shared" si="56"/>
        <v>1</v>
      </c>
      <c r="AZ74" s="43">
        <f t="shared" si="56"/>
        <v>1</v>
      </c>
      <c r="BA74" s="43">
        <f t="shared" si="56"/>
        <v>1</v>
      </c>
      <c r="BB74" s="43">
        <f t="shared" si="56"/>
        <v>1</v>
      </c>
      <c r="BC74" s="43">
        <f t="shared" si="56"/>
        <v>1</v>
      </c>
      <c r="BD74" s="43">
        <f t="shared" si="56"/>
        <v>1</v>
      </c>
      <c r="BE74" s="43">
        <f t="shared" si="56"/>
        <v>1</v>
      </c>
      <c r="BF74" s="43">
        <f t="shared" si="57"/>
        <v>1</v>
      </c>
      <c r="BG74" s="43">
        <f t="shared" si="57"/>
        <v>1</v>
      </c>
      <c r="BH74" s="43">
        <f t="shared" si="57"/>
        <v>1</v>
      </c>
      <c r="BI74" s="43">
        <f t="shared" si="57"/>
        <v>1</v>
      </c>
      <c r="BJ74" s="43">
        <f t="shared" si="57"/>
        <v>1</v>
      </c>
      <c r="BK74" s="43">
        <f t="shared" si="57"/>
        <v>1</v>
      </c>
      <c r="BL74" s="43">
        <f t="shared" si="57"/>
        <v>1</v>
      </c>
      <c r="BM74" s="43">
        <f t="shared" si="57"/>
        <v>1</v>
      </c>
      <c r="BN74" s="43">
        <f t="shared" si="57"/>
        <v>1</v>
      </c>
      <c r="BO74" s="43">
        <f t="shared" si="57"/>
        <v>1</v>
      </c>
      <c r="BP74" s="43">
        <f t="shared" si="58"/>
        <v>1</v>
      </c>
      <c r="BQ74" s="43">
        <f t="shared" si="58"/>
        <v>1</v>
      </c>
      <c r="BR74" s="43">
        <f t="shared" si="58"/>
        <v>0</v>
      </c>
      <c r="BS74" s="43">
        <f t="shared" si="58"/>
        <v>0</v>
      </c>
      <c r="BT74" s="43">
        <f t="shared" si="58"/>
        <v>0</v>
      </c>
      <c r="BU74" s="43">
        <f t="shared" si="58"/>
        <v>0</v>
      </c>
      <c r="BV74" s="43">
        <f t="shared" si="58"/>
        <v>0</v>
      </c>
      <c r="BW74" s="43">
        <f t="shared" si="58"/>
        <v>0</v>
      </c>
      <c r="BX74" s="43">
        <f t="shared" si="58"/>
        <v>0</v>
      </c>
      <c r="BY74" s="43">
        <f t="shared" si="58"/>
        <v>0</v>
      </c>
      <c r="BZ74" s="43">
        <f t="shared" si="58"/>
        <v>0</v>
      </c>
      <c r="CA74" s="43">
        <f t="shared" si="58"/>
        <v>0</v>
      </c>
    </row>
    <row r="75" spans="1:79" x14ac:dyDescent="0.25">
      <c r="A75" s="35">
        <v>58</v>
      </c>
      <c r="B75" s="8"/>
      <c r="C75" s="8"/>
      <c r="D75" s="8"/>
      <c r="E75" s="7"/>
      <c r="F75" s="49"/>
      <c r="G75" s="5"/>
      <c r="H75" s="10">
        <f t="shared" si="8"/>
        <v>0</v>
      </c>
      <c r="I75" s="49" t="e">
        <f>VLOOKUP(B75,База!$B$8:$I$52,3,FALSE)*60</f>
        <v>#N/A</v>
      </c>
      <c r="J75" s="35" t="e">
        <f>VLOOKUP(B75,База!$B$8:$I$52,7,FALSE)*I75</f>
        <v>#N/A</v>
      </c>
      <c r="K75" s="35" t="e">
        <f>VLOOKUP(B75,База!$B$8:$I$52,6,FALSE)</f>
        <v>#N/A</v>
      </c>
      <c r="L75" s="35" t="e">
        <f t="shared" si="35"/>
        <v>#N/A</v>
      </c>
      <c r="M75" s="9">
        <f t="shared" si="36"/>
        <v>0</v>
      </c>
      <c r="N75" s="53">
        <f t="shared" si="49"/>
        <v>612.23658315042314</v>
      </c>
      <c r="O75" s="53">
        <f t="shared" si="50"/>
        <v>612.23658315042314</v>
      </c>
      <c r="P75" s="53">
        <f t="shared" si="51"/>
        <v>0</v>
      </c>
      <c r="Q75" s="53">
        <f t="shared" si="52"/>
        <v>612.23658315042314</v>
      </c>
      <c r="R75" s="43">
        <f t="shared" si="53"/>
        <v>1</v>
      </c>
      <c r="S75" s="43">
        <f t="shared" si="53"/>
        <v>1</v>
      </c>
      <c r="T75" s="43">
        <f t="shared" si="53"/>
        <v>1</v>
      </c>
      <c r="U75" s="43">
        <f t="shared" si="53"/>
        <v>1</v>
      </c>
      <c r="V75" s="43">
        <f t="shared" si="53"/>
        <v>1</v>
      </c>
      <c r="W75" s="43">
        <f t="shared" si="53"/>
        <v>1</v>
      </c>
      <c r="X75" s="43">
        <f t="shared" si="53"/>
        <v>1</v>
      </c>
      <c r="Y75" s="43">
        <f t="shared" si="53"/>
        <v>1</v>
      </c>
      <c r="Z75" s="43">
        <f t="shared" si="53"/>
        <v>1</v>
      </c>
      <c r="AA75" s="43">
        <f t="shared" si="53"/>
        <v>1</v>
      </c>
      <c r="AB75" s="43">
        <f t="shared" si="54"/>
        <v>1</v>
      </c>
      <c r="AC75" s="43">
        <f t="shared" si="54"/>
        <v>1</v>
      </c>
      <c r="AD75" s="43">
        <f t="shared" si="54"/>
        <v>1</v>
      </c>
      <c r="AE75" s="43">
        <f t="shared" si="54"/>
        <v>1</v>
      </c>
      <c r="AF75" s="43">
        <f t="shared" si="54"/>
        <v>1</v>
      </c>
      <c r="AG75" s="43">
        <f t="shared" si="54"/>
        <v>1</v>
      </c>
      <c r="AH75" s="43">
        <f t="shared" si="54"/>
        <v>1</v>
      </c>
      <c r="AI75" s="43">
        <f t="shared" si="54"/>
        <v>1</v>
      </c>
      <c r="AJ75" s="43">
        <f t="shared" si="54"/>
        <v>1</v>
      </c>
      <c r="AK75" s="43">
        <f t="shared" si="54"/>
        <v>1</v>
      </c>
      <c r="AL75" s="43">
        <f t="shared" si="55"/>
        <v>1</v>
      </c>
      <c r="AM75" s="43">
        <f t="shared" si="55"/>
        <v>1</v>
      </c>
      <c r="AN75" s="43">
        <f t="shared" si="55"/>
        <v>1</v>
      </c>
      <c r="AO75" s="43">
        <f t="shared" si="55"/>
        <v>1</v>
      </c>
      <c r="AP75" s="43">
        <f t="shared" si="55"/>
        <v>1</v>
      </c>
      <c r="AQ75" s="43">
        <f t="shared" si="55"/>
        <v>1</v>
      </c>
      <c r="AR75" s="43">
        <f t="shared" si="55"/>
        <v>1</v>
      </c>
      <c r="AS75" s="43">
        <f t="shared" si="55"/>
        <v>1</v>
      </c>
      <c r="AT75" s="43">
        <f t="shared" si="55"/>
        <v>1</v>
      </c>
      <c r="AU75" s="43">
        <f t="shared" si="55"/>
        <v>1</v>
      </c>
      <c r="AV75" s="43">
        <f t="shared" si="56"/>
        <v>1</v>
      </c>
      <c r="AW75" s="43">
        <f t="shared" si="56"/>
        <v>1</v>
      </c>
      <c r="AX75" s="43">
        <f t="shared" si="56"/>
        <v>1</v>
      </c>
      <c r="AY75" s="43">
        <f t="shared" si="56"/>
        <v>1</v>
      </c>
      <c r="AZ75" s="43">
        <f t="shared" si="56"/>
        <v>1</v>
      </c>
      <c r="BA75" s="43">
        <f t="shared" si="56"/>
        <v>1</v>
      </c>
      <c r="BB75" s="43">
        <f t="shared" si="56"/>
        <v>1</v>
      </c>
      <c r="BC75" s="43">
        <f t="shared" si="56"/>
        <v>1</v>
      </c>
      <c r="BD75" s="43">
        <f t="shared" si="56"/>
        <v>1</v>
      </c>
      <c r="BE75" s="43">
        <f t="shared" si="56"/>
        <v>1</v>
      </c>
      <c r="BF75" s="43">
        <f t="shared" si="57"/>
        <v>1</v>
      </c>
      <c r="BG75" s="43">
        <f t="shared" si="57"/>
        <v>1</v>
      </c>
      <c r="BH75" s="43">
        <f t="shared" si="57"/>
        <v>1</v>
      </c>
      <c r="BI75" s="43">
        <f t="shared" si="57"/>
        <v>1</v>
      </c>
      <c r="BJ75" s="43">
        <f t="shared" si="57"/>
        <v>1</v>
      </c>
      <c r="BK75" s="43">
        <f t="shared" si="57"/>
        <v>1</v>
      </c>
      <c r="BL75" s="43">
        <f t="shared" si="57"/>
        <v>1</v>
      </c>
      <c r="BM75" s="43">
        <f t="shared" si="57"/>
        <v>1</v>
      </c>
      <c r="BN75" s="43">
        <f t="shared" si="57"/>
        <v>1</v>
      </c>
      <c r="BO75" s="43">
        <f t="shared" si="57"/>
        <v>1</v>
      </c>
      <c r="BP75" s="43">
        <f t="shared" si="58"/>
        <v>1</v>
      </c>
      <c r="BQ75" s="43">
        <f t="shared" si="58"/>
        <v>1</v>
      </c>
      <c r="BR75" s="43">
        <f t="shared" si="58"/>
        <v>0</v>
      </c>
      <c r="BS75" s="43">
        <f t="shared" si="58"/>
        <v>0</v>
      </c>
      <c r="BT75" s="43">
        <f t="shared" si="58"/>
        <v>0</v>
      </c>
      <c r="BU75" s="43">
        <f t="shared" si="58"/>
        <v>0</v>
      </c>
      <c r="BV75" s="43">
        <f t="shared" si="58"/>
        <v>0</v>
      </c>
      <c r="BW75" s="43">
        <f t="shared" si="58"/>
        <v>0</v>
      </c>
      <c r="BX75" s="43">
        <f t="shared" si="58"/>
        <v>0</v>
      </c>
      <c r="BY75" s="43">
        <f t="shared" si="58"/>
        <v>0</v>
      </c>
      <c r="BZ75" s="43">
        <f t="shared" si="58"/>
        <v>0</v>
      </c>
      <c r="CA75" s="43">
        <f t="shared" si="58"/>
        <v>0</v>
      </c>
    </row>
    <row r="76" spans="1:79" x14ac:dyDescent="0.25">
      <c r="A76" s="35">
        <v>59</v>
      </c>
      <c r="B76" s="8"/>
      <c r="C76" s="8"/>
      <c r="D76" s="8"/>
      <c r="E76" s="7"/>
      <c r="F76" s="49"/>
      <c r="G76" s="5"/>
      <c r="H76" s="10">
        <f t="shared" si="8"/>
        <v>0</v>
      </c>
      <c r="I76" s="49" t="e">
        <f>VLOOKUP(B76,База!$B$8:$I$52,3,FALSE)*60</f>
        <v>#N/A</v>
      </c>
      <c r="J76" s="35" t="e">
        <f>VLOOKUP(B76,База!$B$8:$I$52,7,FALSE)*I76</f>
        <v>#N/A</v>
      </c>
      <c r="K76" s="35" t="e">
        <f>VLOOKUP(B76,База!$B$8:$I$52,6,FALSE)</f>
        <v>#N/A</v>
      </c>
      <c r="L76" s="35" t="e">
        <f t="shared" ref="L76:L107" si="59">I76*12</f>
        <v>#N/A</v>
      </c>
      <c r="M76" s="9">
        <f t="shared" ref="M76:M107" si="60">H76</f>
        <v>0</v>
      </c>
      <c r="N76" s="53">
        <f t="shared" si="49"/>
        <v>612.23658315042314</v>
      </c>
      <c r="O76" s="53">
        <f t="shared" si="50"/>
        <v>612.23658315042314</v>
      </c>
      <c r="P76" s="53">
        <f t="shared" si="51"/>
        <v>0</v>
      </c>
      <c r="Q76" s="53">
        <f t="shared" si="52"/>
        <v>612.23658315042314</v>
      </c>
      <c r="R76" s="43">
        <f t="shared" si="53"/>
        <v>1</v>
      </c>
      <c r="S76" s="43">
        <f t="shared" si="53"/>
        <v>1</v>
      </c>
      <c r="T76" s="43">
        <f t="shared" si="53"/>
        <v>1</v>
      </c>
      <c r="U76" s="43">
        <f t="shared" si="53"/>
        <v>1</v>
      </c>
      <c r="V76" s="43">
        <f t="shared" si="53"/>
        <v>1</v>
      </c>
      <c r="W76" s="43">
        <f t="shared" si="53"/>
        <v>1</v>
      </c>
      <c r="X76" s="43">
        <f t="shared" si="53"/>
        <v>1</v>
      </c>
      <c r="Y76" s="43">
        <f t="shared" si="53"/>
        <v>1</v>
      </c>
      <c r="Z76" s="43">
        <f t="shared" si="53"/>
        <v>1</v>
      </c>
      <c r="AA76" s="43">
        <f t="shared" si="53"/>
        <v>1</v>
      </c>
      <c r="AB76" s="43">
        <f t="shared" si="54"/>
        <v>1</v>
      </c>
      <c r="AC76" s="43">
        <f t="shared" si="54"/>
        <v>1</v>
      </c>
      <c r="AD76" s="43">
        <f t="shared" si="54"/>
        <v>1</v>
      </c>
      <c r="AE76" s="43">
        <f t="shared" si="54"/>
        <v>1</v>
      </c>
      <c r="AF76" s="43">
        <f t="shared" si="54"/>
        <v>1</v>
      </c>
      <c r="AG76" s="43">
        <f t="shared" si="54"/>
        <v>1</v>
      </c>
      <c r="AH76" s="43">
        <f t="shared" si="54"/>
        <v>1</v>
      </c>
      <c r="AI76" s="43">
        <f t="shared" si="54"/>
        <v>1</v>
      </c>
      <c r="AJ76" s="43">
        <f t="shared" si="54"/>
        <v>1</v>
      </c>
      <c r="AK76" s="43">
        <f t="shared" si="54"/>
        <v>1</v>
      </c>
      <c r="AL76" s="43">
        <f t="shared" si="55"/>
        <v>1</v>
      </c>
      <c r="AM76" s="43">
        <f t="shared" si="55"/>
        <v>1</v>
      </c>
      <c r="AN76" s="43">
        <f t="shared" si="55"/>
        <v>1</v>
      </c>
      <c r="AO76" s="43">
        <f t="shared" si="55"/>
        <v>1</v>
      </c>
      <c r="AP76" s="43">
        <f t="shared" si="55"/>
        <v>1</v>
      </c>
      <c r="AQ76" s="43">
        <f t="shared" si="55"/>
        <v>1</v>
      </c>
      <c r="AR76" s="43">
        <f t="shared" si="55"/>
        <v>1</v>
      </c>
      <c r="AS76" s="43">
        <f t="shared" si="55"/>
        <v>1</v>
      </c>
      <c r="AT76" s="43">
        <f t="shared" si="55"/>
        <v>1</v>
      </c>
      <c r="AU76" s="43">
        <f t="shared" si="55"/>
        <v>1</v>
      </c>
      <c r="AV76" s="43">
        <f t="shared" si="56"/>
        <v>1</v>
      </c>
      <c r="AW76" s="43">
        <f t="shared" si="56"/>
        <v>1</v>
      </c>
      <c r="AX76" s="43">
        <f t="shared" si="56"/>
        <v>1</v>
      </c>
      <c r="AY76" s="43">
        <f t="shared" si="56"/>
        <v>1</v>
      </c>
      <c r="AZ76" s="43">
        <f t="shared" si="56"/>
        <v>1</v>
      </c>
      <c r="BA76" s="43">
        <f t="shared" si="56"/>
        <v>1</v>
      </c>
      <c r="BB76" s="43">
        <f t="shared" si="56"/>
        <v>1</v>
      </c>
      <c r="BC76" s="43">
        <f t="shared" si="56"/>
        <v>1</v>
      </c>
      <c r="BD76" s="43">
        <f t="shared" si="56"/>
        <v>1</v>
      </c>
      <c r="BE76" s="43">
        <f t="shared" si="56"/>
        <v>1</v>
      </c>
      <c r="BF76" s="43">
        <f t="shared" si="57"/>
        <v>1</v>
      </c>
      <c r="BG76" s="43">
        <f t="shared" si="57"/>
        <v>1</v>
      </c>
      <c r="BH76" s="43">
        <f t="shared" si="57"/>
        <v>1</v>
      </c>
      <c r="BI76" s="43">
        <f t="shared" si="57"/>
        <v>1</v>
      </c>
      <c r="BJ76" s="43">
        <f t="shared" si="57"/>
        <v>1</v>
      </c>
      <c r="BK76" s="43">
        <f t="shared" si="57"/>
        <v>1</v>
      </c>
      <c r="BL76" s="43">
        <f t="shared" si="57"/>
        <v>1</v>
      </c>
      <c r="BM76" s="43">
        <f t="shared" si="57"/>
        <v>1</v>
      </c>
      <c r="BN76" s="43">
        <f t="shared" si="57"/>
        <v>1</v>
      </c>
      <c r="BO76" s="43">
        <f t="shared" si="57"/>
        <v>1</v>
      </c>
      <c r="BP76" s="43">
        <f t="shared" si="58"/>
        <v>1</v>
      </c>
      <c r="BQ76" s="43">
        <f t="shared" si="58"/>
        <v>1</v>
      </c>
      <c r="BR76" s="43">
        <f t="shared" si="58"/>
        <v>0</v>
      </c>
      <c r="BS76" s="43">
        <f t="shared" si="58"/>
        <v>0</v>
      </c>
      <c r="BT76" s="43">
        <f t="shared" si="58"/>
        <v>0</v>
      </c>
      <c r="BU76" s="43">
        <f t="shared" si="58"/>
        <v>0</v>
      </c>
      <c r="BV76" s="43">
        <f t="shared" si="58"/>
        <v>0</v>
      </c>
      <c r="BW76" s="43">
        <f t="shared" si="58"/>
        <v>0</v>
      </c>
      <c r="BX76" s="43">
        <f t="shared" si="58"/>
        <v>0</v>
      </c>
      <c r="BY76" s="43">
        <f t="shared" si="58"/>
        <v>0</v>
      </c>
      <c r="BZ76" s="43">
        <f t="shared" si="58"/>
        <v>0</v>
      </c>
      <c r="CA76" s="43">
        <f t="shared" si="58"/>
        <v>0</v>
      </c>
    </row>
    <row r="77" spans="1:79" x14ac:dyDescent="0.25">
      <c r="A77" s="35">
        <v>60</v>
      </c>
      <c r="B77" s="8"/>
      <c r="C77" s="8"/>
      <c r="D77" s="8"/>
      <c r="E77" s="7"/>
      <c r="F77" s="49"/>
      <c r="G77" s="5"/>
      <c r="H77" s="10">
        <f t="shared" ref="H77:H139" si="61">IFERROR(F77/I77+J77,0)</f>
        <v>0</v>
      </c>
      <c r="I77" s="49" t="e">
        <f>VLOOKUP(B77,База!$B$8:$I$52,3,FALSE)*60</f>
        <v>#N/A</v>
      </c>
      <c r="J77" s="35" t="e">
        <f>VLOOKUP(B77,База!$B$8:$I$52,7,FALSE)*I77</f>
        <v>#N/A</v>
      </c>
      <c r="K77" s="35" t="e">
        <f>VLOOKUP(B77,База!$B$8:$I$52,6,FALSE)</f>
        <v>#N/A</v>
      </c>
      <c r="L77" s="35" t="e">
        <f t="shared" si="59"/>
        <v>#N/A</v>
      </c>
      <c r="M77" s="9">
        <f t="shared" si="60"/>
        <v>0</v>
      </c>
      <c r="N77" s="53">
        <f t="shared" si="49"/>
        <v>612.23658315042314</v>
      </c>
      <c r="O77" s="53">
        <f t="shared" si="50"/>
        <v>612.23658315042314</v>
      </c>
      <c r="P77" s="53">
        <f t="shared" si="51"/>
        <v>0</v>
      </c>
      <c r="Q77" s="53">
        <f t="shared" si="52"/>
        <v>612.23658315042314</v>
      </c>
      <c r="R77" s="43">
        <f t="shared" si="53"/>
        <v>1</v>
      </c>
      <c r="S77" s="43">
        <f t="shared" si="53"/>
        <v>1</v>
      </c>
      <c r="T77" s="43">
        <f t="shared" si="53"/>
        <v>1</v>
      </c>
      <c r="U77" s="43">
        <f t="shared" si="53"/>
        <v>1</v>
      </c>
      <c r="V77" s="43">
        <f t="shared" si="53"/>
        <v>1</v>
      </c>
      <c r="W77" s="43">
        <f t="shared" si="53"/>
        <v>1</v>
      </c>
      <c r="X77" s="43">
        <f t="shared" si="53"/>
        <v>1</v>
      </c>
      <c r="Y77" s="43">
        <f t="shared" si="53"/>
        <v>1</v>
      </c>
      <c r="Z77" s="43">
        <f t="shared" si="53"/>
        <v>1</v>
      </c>
      <c r="AA77" s="43">
        <f t="shared" si="53"/>
        <v>1</v>
      </c>
      <c r="AB77" s="43">
        <f t="shared" si="54"/>
        <v>1</v>
      </c>
      <c r="AC77" s="43">
        <f t="shared" si="54"/>
        <v>1</v>
      </c>
      <c r="AD77" s="43">
        <f t="shared" si="54"/>
        <v>1</v>
      </c>
      <c r="AE77" s="43">
        <f t="shared" si="54"/>
        <v>1</v>
      </c>
      <c r="AF77" s="43">
        <f t="shared" si="54"/>
        <v>1</v>
      </c>
      <c r="AG77" s="43">
        <f t="shared" si="54"/>
        <v>1</v>
      </c>
      <c r="AH77" s="43">
        <f t="shared" si="54"/>
        <v>1</v>
      </c>
      <c r="AI77" s="43">
        <f t="shared" si="54"/>
        <v>1</v>
      </c>
      <c r="AJ77" s="43">
        <f t="shared" si="54"/>
        <v>1</v>
      </c>
      <c r="AK77" s="43">
        <f t="shared" si="54"/>
        <v>1</v>
      </c>
      <c r="AL77" s="43">
        <f t="shared" si="55"/>
        <v>1</v>
      </c>
      <c r="AM77" s="43">
        <f t="shared" si="55"/>
        <v>1</v>
      </c>
      <c r="AN77" s="43">
        <f t="shared" si="55"/>
        <v>1</v>
      </c>
      <c r="AO77" s="43">
        <f t="shared" si="55"/>
        <v>1</v>
      </c>
      <c r="AP77" s="43">
        <f t="shared" si="55"/>
        <v>1</v>
      </c>
      <c r="AQ77" s="43">
        <f t="shared" si="55"/>
        <v>1</v>
      </c>
      <c r="AR77" s="43">
        <f t="shared" si="55"/>
        <v>1</v>
      </c>
      <c r="AS77" s="43">
        <f t="shared" si="55"/>
        <v>1</v>
      </c>
      <c r="AT77" s="43">
        <f t="shared" si="55"/>
        <v>1</v>
      </c>
      <c r="AU77" s="43">
        <f t="shared" si="55"/>
        <v>1</v>
      </c>
      <c r="AV77" s="43">
        <f t="shared" si="56"/>
        <v>1</v>
      </c>
      <c r="AW77" s="43">
        <f t="shared" si="56"/>
        <v>1</v>
      </c>
      <c r="AX77" s="43">
        <f t="shared" si="56"/>
        <v>1</v>
      </c>
      <c r="AY77" s="43">
        <f t="shared" si="56"/>
        <v>1</v>
      </c>
      <c r="AZ77" s="43">
        <f t="shared" si="56"/>
        <v>1</v>
      </c>
      <c r="BA77" s="43">
        <f t="shared" si="56"/>
        <v>1</v>
      </c>
      <c r="BB77" s="43">
        <f t="shared" si="56"/>
        <v>1</v>
      </c>
      <c r="BC77" s="43">
        <f t="shared" si="56"/>
        <v>1</v>
      </c>
      <c r="BD77" s="43">
        <f t="shared" si="56"/>
        <v>1</v>
      </c>
      <c r="BE77" s="43">
        <f t="shared" si="56"/>
        <v>1</v>
      </c>
      <c r="BF77" s="43">
        <f t="shared" si="57"/>
        <v>1</v>
      </c>
      <c r="BG77" s="43">
        <f t="shared" si="57"/>
        <v>1</v>
      </c>
      <c r="BH77" s="43">
        <f t="shared" si="57"/>
        <v>1</v>
      </c>
      <c r="BI77" s="43">
        <f t="shared" si="57"/>
        <v>1</v>
      </c>
      <c r="BJ77" s="43">
        <f t="shared" si="57"/>
        <v>1</v>
      </c>
      <c r="BK77" s="43">
        <f t="shared" si="57"/>
        <v>1</v>
      </c>
      <c r="BL77" s="43">
        <f t="shared" si="57"/>
        <v>1</v>
      </c>
      <c r="BM77" s="43">
        <f t="shared" si="57"/>
        <v>1</v>
      </c>
      <c r="BN77" s="43">
        <f t="shared" si="57"/>
        <v>1</v>
      </c>
      <c r="BO77" s="43">
        <f t="shared" si="57"/>
        <v>1</v>
      </c>
      <c r="BP77" s="43">
        <f t="shared" si="58"/>
        <v>1</v>
      </c>
      <c r="BQ77" s="43">
        <f t="shared" si="58"/>
        <v>1</v>
      </c>
      <c r="BR77" s="43">
        <f t="shared" si="58"/>
        <v>0</v>
      </c>
      <c r="BS77" s="43">
        <f t="shared" si="58"/>
        <v>0</v>
      </c>
      <c r="BT77" s="43">
        <f t="shared" si="58"/>
        <v>0</v>
      </c>
      <c r="BU77" s="43">
        <f t="shared" si="58"/>
        <v>0</v>
      </c>
      <c r="BV77" s="43">
        <f t="shared" si="58"/>
        <v>0</v>
      </c>
      <c r="BW77" s="43">
        <f t="shared" si="58"/>
        <v>0</v>
      </c>
      <c r="BX77" s="43">
        <f t="shared" si="58"/>
        <v>0</v>
      </c>
      <c r="BY77" s="43">
        <f t="shared" si="58"/>
        <v>0</v>
      </c>
      <c r="BZ77" s="43">
        <f t="shared" si="58"/>
        <v>0</v>
      </c>
      <c r="CA77" s="43">
        <f t="shared" si="58"/>
        <v>0</v>
      </c>
    </row>
    <row r="78" spans="1:79" x14ac:dyDescent="0.25">
      <c r="A78" s="35">
        <v>61</v>
      </c>
      <c r="B78" s="8"/>
      <c r="C78" s="8"/>
      <c r="D78" s="8"/>
      <c r="E78" s="7"/>
      <c r="F78" s="49"/>
      <c r="G78" s="5"/>
      <c r="H78" s="10">
        <f t="shared" si="61"/>
        <v>0</v>
      </c>
      <c r="I78" s="49" t="e">
        <f>VLOOKUP(B78,База!$B$8:$I$52,3,FALSE)*60</f>
        <v>#N/A</v>
      </c>
      <c r="J78" s="35" t="e">
        <f>VLOOKUP(B78,База!$B$8:$I$52,7,FALSE)*I78</f>
        <v>#N/A</v>
      </c>
      <c r="K78" s="35" t="e">
        <f>VLOOKUP(B78,База!$B$8:$I$52,6,FALSE)</f>
        <v>#N/A</v>
      </c>
      <c r="L78" s="35" t="e">
        <f t="shared" si="59"/>
        <v>#N/A</v>
      </c>
      <c r="M78" s="9">
        <f t="shared" si="60"/>
        <v>0</v>
      </c>
      <c r="N78" s="53">
        <f t="shared" si="49"/>
        <v>612.23658315042314</v>
      </c>
      <c r="O78" s="53">
        <f t="shared" si="50"/>
        <v>612.23658315042314</v>
      </c>
      <c r="P78" s="53">
        <f t="shared" si="51"/>
        <v>0</v>
      </c>
      <c r="Q78" s="53">
        <f t="shared" si="52"/>
        <v>612.23658315042314</v>
      </c>
      <c r="R78" s="43">
        <f t="shared" si="53"/>
        <v>1</v>
      </c>
      <c r="S78" s="43">
        <f t="shared" si="53"/>
        <v>1</v>
      </c>
      <c r="T78" s="43">
        <f t="shared" si="53"/>
        <v>1</v>
      </c>
      <c r="U78" s="43">
        <f t="shared" si="53"/>
        <v>1</v>
      </c>
      <c r="V78" s="43">
        <f t="shared" si="53"/>
        <v>1</v>
      </c>
      <c r="W78" s="43">
        <f t="shared" si="53"/>
        <v>1</v>
      </c>
      <c r="X78" s="43">
        <f t="shared" si="53"/>
        <v>1</v>
      </c>
      <c r="Y78" s="43">
        <f t="shared" si="53"/>
        <v>1</v>
      </c>
      <c r="Z78" s="43">
        <f t="shared" si="53"/>
        <v>1</v>
      </c>
      <c r="AA78" s="43">
        <f t="shared" si="53"/>
        <v>1</v>
      </c>
      <c r="AB78" s="43">
        <f t="shared" si="54"/>
        <v>1</v>
      </c>
      <c r="AC78" s="43">
        <f t="shared" si="54"/>
        <v>1</v>
      </c>
      <c r="AD78" s="43">
        <f t="shared" si="54"/>
        <v>1</v>
      </c>
      <c r="AE78" s="43">
        <f t="shared" si="54"/>
        <v>1</v>
      </c>
      <c r="AF78" s="43">
        <f t="shared" si="54"/>
        <v>1</v>
      </c>
      <c r="AG78" s="43">
        <f t="shared" si="54"/>
        <v>1</v>
      </c>
      <c r="AH78" s="43">
        <f t="shared" si="54"/>
        <v>1</v>
      </c>
      <c r="AI78" s="43">
        <f t="shared" si="54"/>
        <v>1</v>
      </c>
      <c r="AJ78" s="43">
        <f t="shared" si="54"/>
        <v>1</v>
      </c>
      <c r="AK78" s="43">
        <f t="shared" si="54"/>
        <v>1</v>
      </c>
      <c r="AL78" s="43">
        <f t="shared" si="55"/>
        <v>1</v>
      </c>
      <c r="AM78" s="43">
        <f t="shared" si="55"/>
        <v>1</v>
      </c>
      <c r="AN78" s="43">
        <f t="shared" si="55"/>
        <v>1</v>
      </c>
      <c r="AO78" s="43">
        <f t="shared" si="55"/>
        <v>1</v>
      </c>
      <c r="AP78" s="43">
        <f t="shared" si="55"/>
        <v>1</v>
      </c>
      <c r="AQ78" s="43">
        <f t="shared" si="55"/>
        <v>1</v>
      </c>
      <c r="AR78" s="43">
        <f t="shared" si="55"/>
        <v>1</v>
      </c>
      <c r="AS78" s="43">
        <f t="shared" si="55"/>
        <v>1</v>
      </c>
      <c r="AT78" s="43">
        <f t="shared" si="55"/>
        <v>1</v>
      </c>
      <c r="AU78" s="43">
        <f t="shared" si="55"/>
        <v>1</v>
      </c>
      <c r="AV78" s="43">
        <f t="shared" si="56"/>
        <v>1</v>
      </c>
      <c r="AW78" s="43">
        <f t="shared" si="56"/>
        <v>1</v>
      </c>
      <c r="AX78" s="43">
        <f t="shared" si="56"/>
        <v>1</v>
      </c>
      <c r="AY78" s="43">
        <f t="shared" si="56"/>
        <v>1</v>
      </c>
      <c r="AZ78" s="43">
        <f t="shared" si="56"/>
        <v>1</v>
      </c>
      <c r="BA78" s="43">
        <f t="shared" si="56"/>
        <v>1</v>
      </c>
      <c r="BB78" s="43">
        <f t="shared" si="56"/>
        <v>1</v>
      </c>
      <c r="BC78" s="43">
        <f t="shared" si="56"/>
        <v>1</v>
      </c>
      <c r="BD78" s="43">
        <f t="shared" si="56"/>
        <v>1</v>
      </c>
      <c r="BE78" s="43">
        <f t="shared" si="56"/>
        <v>1</v>
      </c>
      <c r="BF78" s="43">
        <f t="shared" si="57"/>
        <v>1</v>
      </c>
      <c r="BG78" s="43">
        <f t="shared" si="57"/>
        <v>1</v>
      </c>
      <c r="BH78" s="43">
        <f t="shared" si="57"/>
        <v>1</v>
      </c>
      <c r="BI78" s="43">
        <f t="shared" si="57"/>
        <v>1</v>
      </c>
      <c r="BJ78" s="43">
        <f t="shared" si="57"/>
        <v>1</v>
      </c>
      <c r="BK78" s="43">
        <f t="shared" si="57"/>
        <v>1</v>
      </c>
      <c r="BL78" s="43">
        <f t="shared" si="57"/>
        <v>1</v>
      </c>
      <c r="BM78" s="43">
        <f t="shared" si="57"/>
        <v>1</v>
      </c>
      <c r="BN78" s="43">
        <f t="shared" si="57"/>
        <v>1</v>
      </c>
      <c r="BO78" s="43">
        <f t="shared" si="57"/>
        <v>1</v>
      </c>
      <c r="BP78" s="43">
        <f t="shared" si="58"/>
        <v>1</v>
      </c>
      <c r="BQ78" s="43">
        <f t="shared" si="58"/>
        <v>1</v>
      </c>
      <c r="BR78" s="43">
        <f t="shared" si="58"/>
        <v>0</v>
      </c>
      <c r="BS78" s="43">
        <f t="shared" si="58"/>
        <v>0</v>
      </c>
      <c r="BT78" s="43">
        <f t="shared" si="58"/>
        <v>0</v>
      </c>
      <c r="BU78" s="43">
        <f t="shared" si="58"/>
        <v>0</v>
      </c>
      <c r="BV78" s="43">
        <f t="shared" si="58"/>
        <v>0</v>
      </c>
      <c r="BW78" s="43">
        <f t="shared" si="58"/>
        <v>0</v>
      </c>
      <c r="BX78" s="43">
        <f t="shared" si="58"/>
        <v>0</v>
      </c>
      <c r="BY78" s="43">
        <f t="shared" si="58"/>
        <v>0</v>
      </c>
      <c r="BZ78" s="43">
        <f t="shared" si="58"/>
        <v>0</v>
      </c>
      <c r="CA78" s="43">
        <f t="shared" si="58"/>
        <v>0</v>
      </c>
    </row>
    <row r="79" spans="1:79" x14ac:dyDescent="0.25">
      <c r="A79" s="35">
        <v>62</v>
      </c>
      <c r="B79" s="8"/>
      <c r="C79" s="8"/>
      <c r="D79" s="8"/>
      <c r="E79" s="7"/>
      <c r="F79" s="49"/>
      <c r="G79" s="5"/>
      <c r="H79" s="10">
        <f t="shared" si="61"/>
        <v>0</v>
      </c>
      <c r="I79" s="49" t="e">
        <f>VLOOKUP(B79,База!$B$8:$I$52,3,FALSE)*60</f>
        <v>#N/A</v>
      </c>
      <c r="J79" s="35" t="e">
        <f>VLOOKUP(B79,База!$B$8:$I$52,7,FALSE)*I79</f>
        <v>#N/A</v>
      </c>
      <c r="K79" s="35" t="e">
        <f>VLOOKUP(B79,База!$B$8:$I$52,6,FALSE)</f>
        <v>#N/A</v>
      </c>
      <c r="L79" s="35" t="e">
        <f t="shared" si="59"/>
        <v>#N/A</v>
      </c>
      <c r="M79" s="9">
        <f t="shared" si="60"/>
        <v>0</v>
      </c>
      <c r="N79" s="53">
        <f t="shared" si="49"/>
        <v>612.23658315042314</v>
      </c>
      <c r="O79" s="53">
        <f t="shared" si="50"/>
        <v>612.23658315042314</v>
      </c>
      <c r="P79" s="53">
        <f t="shared" si="51"/>
        <v>0</v>
      </c>
      <c r="Q79" s="53">
        <f t="shared" si="52"/>
        <v>612.23658315042314</v>
      </c>
      <c r="R79" s="43">
        <f t="shared" si="53"/>
        <v>1</v>
      </c>
      <c r="S79" s="43">
        <f t="shared" si="53"/>
        <v>1</v>
      </c>
      <c r="T79" s="43">
        <f t="shared" si="53"/>
        <v>1</v>
      </c>
      <c r="U79" s="43">
        <f t="shared" si="53"/>
        <v>1</v>
      </c>
      <c r="V79" s="43">
        <f t="shared" si="53"/>
        <v>1</v>
      </c>
      <c r="W79" s="43">
        <f t="shared" si="53"/>
        <v>1</v>
      </c>
      <c r="X79" s="43">
        <f t="shared" si="53"/>
        <v>1</v>
      </c>
      <c r="Y79" s="43">
        <f t="shared" si="53"/>
        <v>1</v>
      </c>
      <c r="Z79" s="43">
        <f t="shared" si="53"/>
        <v>1</v>
      </c>
      <c r="AA79" s="43">
        <f t="shared" si="53"/>
        <v>1</v>
      </c>
      <c r="AB79" s="43">
        <f t="shared" si="54"/>
        <v>1</v>
      </c>
      <c r="AC79" s="43">
        <f t="shared" si="54"/>
        <v>1</v>
      </c>
      <c r="AD79" s="43">
        <f t="shared" si="54"/>
        <v>1</v>
      </c>
      <c r="AE79" s="43">
        <f t="shared" si="54"/>
        <v>1</v>
      </c>
      <c r="AF79" s="43">
        <f t="shared" si="54"/>
        <v>1</v>
      </c>
      <c r="AG79" s="43">
        <f t="shared" si="54"/>
        <v>1</v>
      </c>
      <c r="AH79" s="43">
        <f t="shared" si="54"/>
        <v>1</v>
      </c>
      <c r="AI79" s="43">
        <f t="shared" si="54"/>
        <v>1</v>
      </c>
      <c r="AJ79" s="43">
        <f t="shared" si="54"/>
        <v>1</v>
      </c>
      <c r="AK79" s="43">
        <f t="shared" si="54"/>
        <v>1</v>
      </c>
      <c r="AL79" s="43">
        <f t="shared" si="55"/>
        <v>1</v>
      </c>
      <c r="AM79" s="43">
        <f t="shared" si="55"/>
        <v>1</v>
      </c>
      <c r="AN79" s="43">
        <f t="shared" si="55"/>
        <v>1</v>
      </c>
      <c r="AO79" s="43">
        <f t="shared" si="55"/>
        <v>1</v>
      </c>
      <c r="AP79" s="43">
        <f t="shared" si="55"/>
        <v>1</v>
      </c>
      <c r="AQ79" s="43">
        <f t="shared" si="55"/>
        <v>1</v>
      </c>
      <c r="AR79" s="43">
        <f t="shared" si="55"/>
        <v>1</v>
      </c>
      <c r="AS79" s="43">
        <f t="shared" si="55"/>
        <v>1</v>
      </c>
      <c r="AT79" s="43">
        <f t="shared" si="55"/>
        <v>1</v>
      </c>
      <c r="AU79" s="43">
        <f t="shared" si="55"/>
        <v>1</v>
      </c>
      <c r="AV79" s="43">
        <f t="shared" si="56"/>
        <v>1</v>
      </c>
      <c r="AW79" s="43">
        <f t="shared" si="56"/>
        <v>1</v>
      </c>
      <c r="AX79" s="43">
        <f t="shared" si="56"/>
        <v>1</v>
      </c>
      <c r="AY79" s="43">
        <f t="shared" si="56"/>
        <v>1</v>
      </c>
      <c r="AZ79" s="43">
        <f t="shared" si="56"/>
        <v>1</v>
      </c>
      <c r="BA79" s="43">
        <f t="shared" si="56"/>
        <v>1</v>
      </c>
      <c r="BB79" s="43">
        <f t="shared" si="56"/>
        <v>1</v>
      </c>
      <c r="BC79" s="43">
        <f t="shared" si="56"/>
        <v>1</v>
      </c>
      <c r="BD79" s="43">
        <f t="shared" si="56"/>
        <v>1</v>
      </c>
      <c r="BE79" s="43">
        <f t="shared" si="56"/>
        <v>1</v>
      </c>
      <c r="BF79" s="43">
        <f t="shared" si="57"/>
        <v>1</v>
      </c>
      <c r="BG79" s="43">
        <f t="shared" si="57"/>
        <v>1</v>
      </c>
      <c r="BH79" s="43">
        <f t="shared" si="57"/>
        <v>1</v>
      </c>
      <c r="BI79" s="43">
        <f t="shared" si="57"/>
        <v>1</v>
      </c>
      <c r="BJ79" s="43">
        <f t="shared" si="57"/>
        <v>1</v>
      </c>
      <c r="BK79" s="43">
        <f t="shared" si="57"/>
        <v>1</v>
      </c>
      <c r="BL79" s="43">
        <f t="shared" si="57"/>
        <v>1</v>
      </c>
      <c r="BM79" s="43">
        <f t="shared" si="57"/>
        <v>1</v>
      </c>
      <c r="BN79" s="43">
        <f t="shared" si="57"/>
        <v>1</v>
      </c>
      <c r="BO79" s="43">
        <f t="shared" si="57"/>
        <v>1</v>
      </c>
      <c r="BP79" s="43">
        <f t="shared" si="58"/>
        <v>1</v>
      </c>
      <c r="BQ79" s="43">
        <f t="shared" si="58"/>
        <v>1</v>
      </c>
      <c r="BR79" s="43">
        <f t="shared" si="58"/>
        <v>0</v>
      </c>
      <c r="BS79" s="43">
        <f t="shared" si="58"/>
        <v>0</v>
      </c>
      <c r="BT79" s="43">
        <f t="shared" si="58"/>
        <v>0</v>
      </c>
      <c r="BU79" s="43">
        <f t="shared" si="58"/>
        <v>0</v>
      </c>
      <c r="BV79" s="43">
        <f t="shared" si="58"/>
        <v>0</v>
      </c>
      <c r="BW79" s="43">
        <f t="shared" si="58"/>
        <v>0</v>
      </c>
      <c r="BX79" s="43">
        <f t="shared" si="58"/>
        <v>0</v>
      </c>
      <c r="BY79" s="43">
        <f t="shared" si="58"/>
        <v>0</v>
      </c>
      <c r="BZ79" s="43">
        <f t="shared" si="58"/>
        <v>0</v>
      </c>
      <c r="CA79" s="43">
        <f t="shared" si="58"/>
        <v>0</v>
      </c>
    </row>
    <row r="80" spans="1:79" x14ac:dyDescent="0.25">
      <c r="A80" s="35">
        <v>63</v>
      </c>
      <c r="B80" s="8"/>
      <c r="C80" s="8"/>
      <c r="D80" s="8"/>
      <c r="E80" s="7"/>
      <c r="F80" s="49"/>
      <c r="G80" s="5"/>
      <c r="H80" s="10">
        <f t="shared" si="61"/>
        <v>0</v>
      </c>
      <c r="I80" s="49" t="e">
        <f>VLOOKUP(B80,База!$B$8:$I$52,3,FALSE)*60</f>
        <v>#N/A</v>
      </c>
      <c r="J80" s="35" t="e">
        <f>VLOOKUP(B80,База!$B$8:$I$52,7,FALSE)*I80</f>
        <v>#N/A</v>
      </c>
      <c r="K80" s="35" t="e">
        <f>VLOOKUP(B80,База!$B$8:$I$52,6,FALSE)</f>
        <v>#N/A</v>
      </c>
      <c r="L80" s="35" t="e">
        <f t="shared" si="59"/>
        <v>#N/A</v>
      </c>
      <c r="M80" s="9">
        <f t="shared" si="60"/>
        <v>0</v>
      </c>
      <c r="N80" s="53">
        <f t="shared" si="49"/>
        <v>612.23658315042314</v>
      </c>
      <c r="O80" s="53">
        <f t="shared" si="50"/>
        <v>612.23658315042314</v>
      </c>
      <c r="P80" s="53">
        <f t="shared" si="51"/>
        <v>0</v>
      </c>
      <c r="Q80" s="53">
        <f t="shared" si="52"/>
        <v>612.23658315042314</v>
      </c>
      <c r="R80" s="43">
        <f t="shared" si="53"/>
        <v>1</v>
      </c>
      <c r="S80" s="43">
        <f t="shared" si="53"/>
        <v>1</v>
      </c>
      <c r="T80" s="43">
        <f t="shared" si="53"/>
        <v>1</v>
      </c>
      <c r="U80" s="43">
        <f t="shared" si="53"/>
        <v>1</v>
      </c>
      <c r="V80" s="43">
        <f t="shared" si="53"/>
        <v>1</v>
      </c>
      <c r="W80" s="43">
        <f t="shared" si="53"/>
        <v>1</v>
      </c>
      <c r="X80" s="43">
        <f t="shared" si="53"/>
        <v>1</v>
      </c>
      <c r="Y80" s="43">
        <f t="shared" si="53"/>
        <v>1</v>
      </c>
      <c r="Z80" s="43">
        <f t="shared" si="53"/>
        <v>1</v>
      </c>
      <c r="AA80" s="43">
        <f t="shared" si="53"/>
        <v>1</v>
      </c>
      <c r="AB80" s="43">
        <f t="shared" si="54"/>
        <v>1</v>
      </c>
      <c r="AC80" s="43">
        <f t="shared" si="54"/>
        <v>1</v>
      </c>
      <c r="AD80" s="43">
        <f t="shared" si="54"/>
        <v>1</v>
      </c>
      <c r="AE80" s="43">
        <f t="shared" si="54"/>
        <v>1</v>
      </c>
      <c r="AF80" s="43">
        <f t="shared" si="54"/>
        <v>1</v>
      </c>
      <c r="AG80" s="43">
        <f t="shared" si="54"/>
        <v>1</v>
      </c>
      <c r="AH80" s="43">
        <f t="shared" si="54"/>
        <v>1</v>
      </c>
      <c r="AI80" s="43">
        <f t="shared" si="54"/>
        <v>1</v>
      </c>
      <c r="AJ80" s="43">
        <f t="shared" si="54"/>
        <v>1</v>
      </c>
      <c r="AK80" s="43">
        <f t="shared" si="54"/>
        <v>1</v>
      </c>
      <c r="AL80" s="43">
        <f t="shared" si="55"/>
        <v>1</v>
      </c>
      <c r="AM80" s="43">
        <f t="shared" si="55"/>
        <v>1</v>
      </c>
      <c r="AN80" s="43">
        <f t="shared" si="55"/>
        <v>1</v>
      </c>
      <c r="AO80" s="43">
        <f t="shared" si="55"/>
        <v>1</v>
      </c>
      <c r="AP80" s="43">
        <f t="shared" si="55"/>
        <v>1</v>
      </c>
      <c r="AQ80" s="43">
        <f t="shared" si="55"/>
        <v>1</v>
      </c>
      <c r="AR80" s="43">
        <f t="shared" si="55"/>
        <v>1</v>
      </c>
      <c r="AS80" s="43">
        <f t="shared" si="55"/>
        <v>1</v>
      </c>
      <c r="AT80" s="43">
        <f t="shared" si="55"/>
        <v>1</v>
      </c>
      <c r="AU80" s="43">
        <f t="shared" si="55"/>
        <v>1</v>
      </c>
      <c r="AV80" s="43">
        <f t="shared" si="56"/>
        <v>1</v>
      </c>
      <c r="AW80" s="43">
        <f t="shared" si="56"/>
        <v>1</v>
      </c>
      <c r="AX80" s="43">
        <f t="shared" si="56"/>
        <v>1</v>
      </c>
      <c r="AY80" s="43">
        <f t="shared" si="56"/>
        <v>1</v>
      </c>
      <c r="AZ80" s="43">
        <f t="shared" si="56"/>
        <v>1</v>
      </c>
      <c r="BA80" s="43">
        <f t="shared" si="56"/>
        <v>1</v>
      </c>
      <c r="BB80" s="43">
        <f t="shared" si="56"/>
        <v>1</v>
      </c>
      <c r="BC80" s="43">
        <f t="shared" si="56"/>
        <v>1</v>
      </c>
      <c r="BD80" s="43">
        <f t="shared" si="56"/>
        <v>1</v>
      </c>
      <c r="BE80" s="43">
        <f t="shared" si="56"/>
        <v>1</v>
      </c>
      <c r="BF80" s="43">
        <f t="shared" si="57"/>
        <v>1</v>
      </c>
      <c r="BG80" s="43">
        <f t="shared" si="57"/>
        <v>1</v>
      </c>
      <c r="BH80" s="43">
        <f t="shared" si="57"/>
        <v>1</v>
      </c>
      <c r="BI80" s="43">
        <f t="shared" si="57"/>
        <v>1</v>
      </c>
      <c r="BJ80" s="43">
        <f t="shared" si="57"/>
        <v>1</v>
      </c>
      <c r="BK80" s="43">
        <f t="shared" si="57"/>
        <v>1</v>
      </c>
      <c r="BL80" s="43">
        <f t="shared" si="57"/>
        <v>1</v>
      </c>
      <c r="BM80" s="43">
        <f t="shared" si="57"/>
        <v>1</v>
      </c>
      <c r="BN80" s="43">
        <f t="shared" si="57"/>
        <v>1</v>
      </c>
      <c r="BO80" s="43">
        <f t="shared" si="57"/>
        <v>1</v>
      </c>
      <c r="BP80" s="43">
        <f t="shared" si="58"/>
        <v>1</v>
      </c>
      <c r="BQ80" s="43">
        <f t="shared" si="58"/>
        <v>1</v>
      </c>
      <c r="BR80" s="43">
        <f t="shared" si="58"/>
        <v>0</v>
      </c>
      <c r="BS80" s="43">
        <f t="shared" si="58"/>
        <v>0</v>
      </c>
      <c r="BT80" s="43">
        <f t="shared" si="58"/>
        <v>0</v>
      </c>
      <c r="BU80" s="43">
        <f t="shared" si="58"/>
        <v>0</v>
      </c>
      <c r="BV80" s="43">
        <f t="shared" si="58"/>
        <v>0</v>
      </c>
      <c r="BW80" s="43">
        <f t="shared" si="58"/>
        <v>0</v>
      </c>
      <c r="BX80" s="43">
        <f t="shared" si="58"/>
        <v>0</v>
      </c>
      <c r="BY80" s="43">
        <f t="shared" si="58"/>
        <v>0</v>
      </c>
      <c r="BZ80" s="43">
        <f t="shared" si="58"/>
        <v>0</v>
      </c>
      <c r="CA80" s="43">
        <f t="shared" si="58"/>
        <v>0</v>
      </c>
    </row>
    <row r="81" spans="1:79" x14ac:dyDescent="0.25">
      <c r="A81" s="35">
        <v>64</v>
      </c>
      <c r="B81" s="8"/>
      <c r="C81" s="8"/>
      <c r="D81" s="8"/>
      <c r="E81" s="7"/>
      <c r="F81" s="49"/>
      <c r="G81" s="5"/>
      <c r="H81" s="10">
        <f t="shared" si="61"/>
        <v>0</v>
      </c>
      <c r="I81" s="49" t="e">
        <f>VLOOKUP(B81,База!$B$8:$I$52,3,FALSE)*60</f>
        <v>#N/A</v>
      </c>
      <c r="J81" s="35" t="e">
        <f>VLOOKUP(B81,База!$B$8:$I$52,7,FALSE)*I81</f>
        <v>#N/A</v>
      </c>
      <c r="K81" s="35" t="e">
        <f>VLOOKUP(B81,База!$B$8:$I$52,6,FALSE)</f>
        <v>#N/A</v>
      </c>
      <c r="L81" s="35" t="e">
        <f t="shared" si="59"/>
        <v>#N/A</v>
      </c>
      <c r="M81" s="9">
        <f t="shared" si="60"/>
        <v>0</v>
      </c>
      <c r="N81" s="53">
        <f t="shared" si="49"/>
        <v>612.23658315042314</v>
      </c>
      <c r="O81" s="53">
        <f t="shared" si="50"/>
        <v>612.23658315042314</v>
      </c>
      <c r="P81" s="53">
        <f t="shared" si="51"/>
        <v>0</v>
      </c>
      <c r="Q81" s="53">
        <f t="shared" si="52"/>
        <v>612.23658315042314</v>
      </c>
      <c r="R81" s="43">
        <f t="shared" si="53"/>
        <v>1</v>
      </c>
      <c r="S81" s="43">
        <f t="shared" si="53"/>
        <v>1</v>
      </c>
      <c r="T81" s="43">
        <f t="shared" si="53"/>
        <v>1</v>
      </c>
      <c r="U81" s="43">
        <f t="shared" si="53"/>
        <v>1</v>
      </c>
      <c r="V81" s="43">
        <f t="shared" si="53"/>
        <v>1</v>
      </c>
      <c r="W81" s="43">
        <f t="shared" si="53"/>
        <v>1</v>
      </c>
      <c r="X81" s="43">
        <f t="shared" si="53"/>
        <v>1</v>
      </c>
      <c r="Y81" s="43">
        <f t="shared" si="53"/>
        <v>1</v>
      </c>
      <c r="Z81" s="43">
        <f t="shared" si="53"/>
        <v>1</v>
      </c>
      <c r="AA81" s="43">
        <f t="shared" si="53"/>
        <v>1</v>
      </c>
      <c r="AB81" s="43">
        <f t="shared" si="54"/>
        <v>1</v>
      </c>
      <c r="AC81" s="43">
        <f t="shared" si="54"/>
        <v>1</v>
      </c>
      <c r="AD81" s="43">
        <f t="shared" si="54"/>
        <v>1</v>
      </c>
      <c r="AE81" s="43">
        <f t="shared" si="54"/>
        <v>1</v>
      </c>
      <c r="AF81" s="43">
        <f t="shared" si="54"/>
        <v>1</v>
      </c>
      <c r="AG81" s="43">
        <f t="shared" si="54"/>
        <v>1</v>
      </c>
      <c r="AH81" s="43">
        <f t="shared" si="54"/>
        <v>1</v>
      </c>
      <c r="AI81" s="43">
        <f t="shared" si="54"/>
        <v>1</v>
      </c>
      <c r="AJ81" s="43">
        <f t="shared" si="54"/>
        <v>1</v>
      </c>
      <c r="AK81" s="43">
        <f t="shared" si="54"/>
        <v>1</v>
      </c>
      <c r="AL81" s="43">
        <f t="shared" si="55"/>
        <v>1</v>
      </c>
      <c r="AM81" s="43">
        <f t="shared" si="55"/>
        <v>1</v>
      </c>
      <c r="AN81" s="43">
        <f t="shared" si="55"/>
        <v>1</v>
      </c>
      <c r="AO81" s="43">
        <f t="shared" si="55"/>
        <v>1</v>
      </c>
      <c r="AP81" s="43">
        <f t="shared" si="55"/>
        <v>1</v>
      </c>
      <c r="AQ81" s="43">
        <f t="shared" si="55"/>
        <v>1</v>
      </c>
      <c r="AR81" s="43">
        <f t="shared" si="55"/>
        <v>1</v>
      </c>
      <c r="AS81" s="43">
        <f t="shared" si="55"/>
        <v>1</v>
      </c>
      <c r="AT81" s="43">
        <f t="shared" si="55"/>
        <v>1</v>
      </c>
      <c r="AU81" s="43">
        <f t="shared" si="55"/>
        <v>1</v>
      </c>
      <c r="AV81" s="43">
        <f t="shared" si="56"/>
        <v>1</v>
      </c>
      <c r="AW81" s="43">
        <f t="shared" si="56"/>
        <v>1</v>
      </c>
      <c r="AX81" s="43">
        <f t="shared" si="56"/>
        <v>1</v>
      </c>
      <c r="AY81" s="43">
        <f t="shared" si="56"/>
        <v>1</v>
      </c>
      <c r="AZ81" s="43">
        <f t="shared" si="56"/>
        <v>1</v>
      </c>
      <c r="BA81" s="43">
        <f t="shared" si="56"/>
        <v>1</v>
      </c>
      <c r="BB81" s="43">
        <f t="shared" si="56"/>
        <v>1</v>
      </c>
      <c r="BC81" s="43">
        <f t="shared" si="56"/>
        <v>1</v>
      </c>
      <c r="BD81" s="43">
        <f t="shared" si="56"/>
        <v>1</v>
      </c>
      <c r="BE81" s="43">
        <f t="shared" si="56"/>
        <v>1</v>
      </c>
      <c r="BF81" s="43">
        <f t="shared" si="57"/>
        <v>1</v>
      </c>
      <c r="BG81" s="43">
        <f t="shared" si="57"/>
        <v>1</v>
      </c>
      <c r="BH81" s="43">
        <f t="shared" si="57"/>
        <v>1</v>
      </c>
      <c r="BI81" s="43">
        <f t="shared" si="57"/>
        <v>1</v>
      </c>
      <c r="BJ81" s="43">
        <f t="shared" si="57"/>
        <v>1</v>
      </c>
      <c r="BK81" s="43">
        <f t="shared" si="57"/>
        <v>1</v>
      </c>
      <c r="BL81" s="43">
        <f t="shared" si="57"/>
        <v>1</v>
      </c>
      <c r="BM81" s="43">
        <f t="shared" si="57"/>
        <v>1</v>
      </c>
      <c r="BN81" s="43">
        <f t="shared" si="57"/>
        <v>1</v>
      </c>
      <c r="BO81" s="43">
        <f t="shared" si="57"/>
        <v>1</v>
      </c>
      <c r="BP81" s="43">
        <f t="shared" si="58"/>
        <v>1</v>
      </c>
      <c r="BQ81" s="43">
        <f t="shared" si="58"/>
        <v>1</v>
      </c>
      <c r="BR81" s="43">
        <f t="shared" si="58"/>
        <v>0</v>
      </c>
      <c r="BS81" s="43">
        <f t="shared" si="58"/>
        <v>0</v>
      </c>
      <c r="BT81" s="43">
        <f t="shared" si="58"/>
        <v>0</v>
      </c>
      <c r="BU81" s="43">
        <f t="shared" si="58"/>
        <v>0</v>
      </c>
      <c r="BV81" s="43">
        <f t="shared" si="58"/>
        <v>0</v>
      </c>
      <c r="BW81" s="43">
        <f t="shared" si="58"/>
        <v>0</v>
      </c>
      <c r="BX81" s="43">
        <f t="shared" si="58"/>
        <v>0</v>
      </c>
      <c r="BY81" s="43">
        <f t="shared" si="58"/>
        <v>0</v>
      </c>
      <c r="BZ81" s="43">
        <f t="shared" si="58"/>
        <v>0</v>
      </c>
      <c r="CA81" s="43">
        <f t="shared" si="58"/>
        <v>0</v>
      </c>
    </row>
    <row r="82" spans="1:79" x14ac:dyDescent="0.25">
      <c r="A82" s="35">
        <v>65</v>
      </c>
      <c r="B82" s="8"/>
      <c r="C82" s="8"/>
      <c r="D82" s="8"/>
      <c r="E82" s="7"/>
      <c r="F82" s="49"/>
      <c r="G82" s="5"/>
      <c r="H82" s="10">
        <f t="shared" si="61"/>
        <v>0</v>
      </c>
      <c r="I82" s="49" t="e">
        <f>VLOOKUP(B82,База!$B$8:$I$52,3,FALSE)*60</f>
        <v>#N/A</v>
      </c>
      <c r="J82" s="35" t="e">
        <f>VLOOKUP(B82,База!$B$8:$I$52,7,FALSE)*I82</f>
        <v>#N/A</v>
      </c>
      <c r="K82" s="35" t="e">
        <f>VLOOKUP(B82,База!$B$8:$I$52,6,FALSE)</f>
        <v>#N/A</v>
      </c>
      <c r="L82" s="35" t="e">
        <f t="shared" si="59"/>
        <v>#N/A</v>
      </c>
      <c r="M82" s="9">
        <f t="shared" si="60"/>
        <v>0</v>
      </c>
      <c r="N82" s="53">
        <f t="shared" si="49"/>
        <v>612.23658315042314</v>
      </c>
      <c r="O82" s="53">
        <f t="shared" si="50"/>
        <v>612.23658315042314</v>
      </c>
      <c r="P82" s="53">
        <f t="shared" si="51"/>
        <v>0</v>
      </c>
      <c r="Q82" s="53">
        <f t="shared" si="52"/>
        <v>612.23658315042314</v>
      </c>
      <c r="R82" s="43">
        <f t="shared" ref="R82:AA91" si="62">IF($Q82&gt;R$10,IF($Q82-$P82&lt;=R$10,$L82,1),0)</f>
        <v>1</v>
      </c>
      <c r="S82" s="43">
        <f t="shared" si="62"/>
        <v>1</v>
      </c>
      <c r="T82" s="43">
        <f t="shared" si="62"/>
        <v>1</v>
      </c>
      <c r="U82" s="43">
        <f t="shared" si="62"/>
        <v>1</v>
      </c>
      <c r="V82" s="43">
        <f t="shared" si="62"/>
        <v>1</v>
      </c>
      <c r="W82" s="43">
        <f t="shared" si="62"/>
        <v>1</v>
      </c>
      <c r="X82" s="43">
        <f t="shared" si="62"/>
        <v>1</v>
      </c>
      <c r="Y82" s="43">
        <f t="shared" si="62"/>
        <v>1</v>
      </c>
      <c r="Z82" s="43">
        <f t="shared" si="62"/>
        <v>1</v>
      </c>
      <c r="AA82" s="43">
        <f t="shared" si="62"/>
        <v>1</v>
      </c>
      <c r="AB82" s="43">
        <f t="shared" ref="AB82:AK91" si="63">IF($Q82&gt;AB$10,IF($Q82-$P82&lt;=AB$10,$L82,1),0)</f>
        <v>1</v>
      </c>
      <c r="AC82" s="43">
        <f t="shared" si="63"/>
        <v>1</v>
      </c>
      <c r="AD82" s="43">
        <f t="shared" si="63"/>
        <v>1</v>
      </c>
      <c r="AE82" s="43">
        <f t="shared" si="63"/>
        <v>1</v>
      </c>
      <c r="AF82" s="43">
        <f t="shared" si="63"/>
        <v>1</v>
      </c>
      <c r="AG82" s="43">
        <f t="shared" si="63"/>
        <v>1</v>
      </c>
      <c r="AH82" s="43">
        <f t="shared" si="63"/>
        <v>1</v>
      </c>
      <c r="AI82" s="43">
        <f t="shared" si="63"/>
        <v>1</v>
      </c>
      <c r="AJ82" s="43">
        <f t="shared" si="63"/>
        <v>1</v>
      </c>
      <c r="AK82" s="43">
        <f t="shared" si="63"/>
        <v>1</v>
      </c>
      <c r="AL82" s="43">
        <f t="shared" ref="AL82:AU91" si="64">IF($Q82&gt;AL$10,IF($Q82-$P82&lt;=AL$10,$L82,1),0)</f>
        <v>1</v>
      </c>
      <c r="AM82" s="43">
        <f t="shared" si="64"/>
        <v>1</v>
      </c>
      <c r="AN82" s="43">
        <f t="shared" si="64"/>
        <v>1</v>
      </c>
      <c r="AO82" s="43">
        <f t="shared" si="64"/>
        <v>1</v>
      </c>
      <c r="AP82" s="43">
        <f t="shared" si="64"/>
        <v>1</v>
      </c>
      <c r="AQ82" s="43">
        <f t="shared" si="64"/>
        <v>1</v>
      </c>
      <c r="AR82" s="43">
        <f t="shared" si="64"/>
        <v>1</v>
      </c>
      <c r="AS82" s="43">
        <f t="shared" si="64"/>
        <v>1</v>
      </c>
      <c r="AT82" s="43">
        <f t="shared" si="64"/>
        <v>1</v>
      </c>
      <c r="AU82" s="43">
        <f t="shared" si="64"/>
        <v>1</v>
      </c>
      <c r="AV82" s="43">
        <f t="shared" ref="AV82:BE91" si="65">IF($Q82&gt;AV$10,IF($Q82-$P82&lt;=AV$10,$L82,1),0)</f>
        <v>1</v>
      </c>
      <c r="AW82" s="43">
        <f t="shared" si="65"/>
        <v>1</v>
      </c>
      <c r="AX82" s="43">
        <f t="shared" si="65"/>
        <v>1</v>
      </c>
      <c r="AY82" s="43">
        <f t="shared" si="65"/>
        <v>1</v>
      </c>
      <c r="AZ82" s="43">
        <f t="shared" si="65"/>
        <v>1</v>
      </c>
      <c r="BA82" s="43">
        <f t="shared" si="65"/>
        <v>1</v>
      </c>
      <c r="BB82" s="43">
        <f t="shared" si="65"/>
        <v>1</v>
      </c>
      <c r="BC82" s="43">
        <f t="shared" si="65"/>
        <v>1</v>
      </c>
      <c r="BD82" s="43">
        <f t="shared" si="65"/>
        <v>1</v>
      </c>
      <c r="BE82" s="43">
        <f t="shared" si="65"/>
        <v>1</v>
      </c>
      <c r="BF82" s="43">
        <f t="shared" ref="BF82:BO91" si="66">IF($Q82&gt;BF$10,IF($Q82-$P82&lt;=BF$10,$L82,1),0)</f>
        <v>1</v>
      </c>
      <c r="BG82" s="43">
        <f t="shared" si="66"/>
        <v>1</v>
      </c>
      <c r="BH82" s="43">
        <f t="shared" si="66"/>
        <v>1</v>
      </c>
      <c r="BI82" s="43">
        <f t="shared" si="66"/>
        <v>1</v>
      </c>
      <c r="BJ82" s="43">
        <f t="shared" si="66"/>
        <v>1</v>
      </c>
      <c r="BK82" s="43">
        <f t="shared" si="66"/>
        <v>1</v>
      </c>
      <c r="BL82" s="43">
        <f t="shared" si="66"/>
        <v>1</v>
      </c>
      <c r="BM82" s="43">
        <f t="shared" si="66"/>
        <v>1</v>
      </c>
      <c r="BN82" s="43">
        <f t="shared" si="66"/>
        <v>1</v>
      </c>
      <c r="BO82" s="43">
        <f t="shared" si="66"/>
        <v>1</v>
      </c>
      <c r="BP82" s="43">
        <f t="shared" ref="BP82:CA91" si="67">IF($Q82&gt;BP$10,IF($Q82-$P82&lt;=BP$10,$L82,1),0)</f>
        <v>1</v>
      </c>
      <c r="BQ82" s="43">
        <f t="shared" si="67"/>
        <v>1</v>
      </c>
      <c r="BR82" s="43">
        <f t="shared" si="67"/>
        <v>0</v>
      </c>
      <c r="BS82" s="43">
        <f t="shared" si="67"/>
        <v>0</v>
      </c>
      <c r="BT82" s="43">
        <f t="shared" si="67"/>
        <v>0</v>
      </c>
      <c r="BU82" s="43">
        <f t="shared" si="67"/>
        <v>0</v>
      </c>
      <c r="BV82" s="43">
        <f t="shared" si="67"/>
        <v>0</v>
      </c>
      <c r="BW82" s="43">
        <f t="shared" si="67"/>
        <v>0</v>
      </c>
      <c r="BX82" s="43">
        <f t="shared" si="67"/>
        <v>0</v>
      </c>
      <c r="BY82" s="43">
        <f t="shared" si="67"/>
        <v>0</v>
      </c>
      <c r="BZ82" s="43">
        <f t="shared" si="67"/>
        <v>0</v>
      </c>
      <c r="CA82" s="43">
        <f t="shared" si="67"/>
        <v>0</v>
      </c>
    </row>
    <row r="83" spans="1:79" x14ac:dyDescent="0.25">
      <c r="A83" s="35">
        <v>66</v>
      </c>
      <c r="B83" s="8"/>
      <c r="C83" s="8"/>
      <c r="D83" s="8"/>
      <c r="E83" s="7"/>
      <c r="F83" s="49"/>
      <c r="G83" s="5"/>
      <c r="H83" s="10">
        <f t="shared" si="61"/>
        <v>0</v>
      </c>
      <c r="I83" s="49" t="e">
        <f>VLOOKUP(B83,База!$B$8:$I$52,3,FALSE)*60</f>
        <v>#N/A</v>
      </c>
      <c r="J83" s="35" t="e">
        <f>VLOOKUP(B83,База!$B$8:$I$52,7,FALSE)*I83</f>
        <v>#N/A</v>
      </c>
      <c r="K83" s="35" t="e">
        <f>VLOOKUP(B83,База!$B$8:$I$52,6,FALSE)</f>
        <v>#N/A</v>
      </c>
      <c r="L83" s="35" t="e">
        <f t="shared" si="59"/>
        <v>#N/A</v>
      </c>
      <c r="M83" s="9">
        <f t="shared" si="60"/>
        <v>0</v>
      </c>
      <c r="N83" s="53">
        <f t="shared" si="49"/>
        <v>612.23658315042314</v>
      </c>
      <c r="O83" s="53">
        <f t="shared" si="50"/>
        <v>612.23658315042314</v>
      </c>
      <c r="P83" s="53">
        <f t="shared" si="51"/>
        <v>0</v>
      </c>
      <c r="Q83" s="53">
        <f t="shared" si="52"/>
        <v>612.23658315042314</v>
      </c>
      <c r="R83" s="43">
        <f t="shared" si="62"/>
        <v>1</v>
      </c>
      <c r="S83" s="43">
        <f t="shared" si="62"/>
        <v>1</v>
      </c>
      <c r="T83" s="43">
        <f t="shared" si="62"/>
        <v>1</v>
      </c>
      <c r="U83" s="43">
        <f t="shared" si="62"/>
        <v>1</v>
      </c>
      <c r="V83" s="43">
        <f t="shared" si="62"/>
        <v>1</v>
      </c>
      <c r="W83" s="43">
        <f t="shared" si="62"/>
        <v>1</v>
      </c>
      <c r="X83" s="43">
        <f t="shared" si="62"/>
        <v>1</v>
      </c>
      <c r="Y83" s="43">
        <f t="shared" si="62"/>
        <v>1</v>
      </c>
      <c r="Z83" s="43">
        <f t="shared" si="62"/>
        <v>1</v>
      </c>
      <c r="AA83" s="43">
        <f t="shared" si="62"/>
        <v>1</v>
      </c>
      <c r="AB83" s="43">
        <f t="shared" si="63"/>
        <v>1</v>
      </c>
      <c r="AC83" s="43">
        <f t="shared" si="63"/>
        <v>1</v>
      </c>
      <c r="AD83" s="43">
        <f t="shared" si="63"/>
        <v>1</v>
      </c>
      <c r="AE83" s="43">
        <f t="shared" si="63"/>
        <v>1</v>
      </c>
      <c r="AF83" s="43">
        <f t="shared" si="63"/>
        <v>1</v>
      </c>
      <c r="AG83" s="43">
        <f t="shared" si="63"/>
        <v>1</v>
      </c>
      <c r="AH83" s="43">
        <f t="shared" si="63"/>
        <v>1</v>
      </c>
      <c r="AI83" s="43">
        <f t="shared" si="63"/>
        <v>1</v>
      </c>
      <c r="AJ83" s="43">
        <f t="shared" si="63"/>
        <v>1</v>
      </c>
      <c r="AK83" s="43">
        <f t="shared" si="63"/>
        <v>1</v>
      </c>
      <c r="AL83" s="43">
        <f t="shared" si="64"/>
        <v>1</v>
      </c>
      <c r="AM83" s="43">
        <f t="shared" si="64"/>
        <v>1</v>
      </c>
      <c r="AN83" s="43">
        <f t="shared" si="64"/>
        <v>1</v>
      </c>
      <c r="AO83" s="43">
        <f t="shared" si="64"/>
        <v>1</v>
      </c>
      <c r="AP83" s="43">
        <f t="shared" si="64"/>
        <v>1</v>
      </c>
      <c r="AQ83" s="43">
        <f t="shared" si="64"/>
        <v>1</v>
      </c>
      <c r="AR83" s="43">
        <f t="shared" si="64"/>
        <v>1</v>
      </c>
      <c r="AS83" s="43">
        <f t="shared" si="64"/>
        <v>1</v>
      </c>
      <c r="AT83" s="43">
        <f t="shared" si="64"/>
        <v>1</v>
      </c>
      <c r="AU83" s="43">
        <f t="shared" si="64"/>
        <v>1</v>
      </c>
      <c r="AV83" s="43">
        <f t="shared" si="65"/>
        <v>1</v>
      </c>
      <c r="AW83" s="43">
        <f t="shared" si="65"/>
        <v>1</v>
      </c>
      <c r="AX83" s="43">
        <f t="shared" si="65"/>
        <v>1</v>
      </c>
      <c r="AY83" s="43">
        <f t="shared" si="65"/>
        <v>1</v>
      </c>
      <c r="AZ83" s="43">
        <f t="shared" si="65"/>
        <v>1</v>
      </c>
      <c r="BA83" s="43">
        <f t="shared" si="65"/>
        <v>1</v>
      </c>
      <c r="BB83" s="43">
        <f t="shared" si="65"/>
        <v>1</v>
      </c>
      <c r="BC83" s="43">
        <f t="shared" si="65"/>
        <v>1</v>
      </c>
      <c r="BD83" s="43">
        <f t="shared" si="65"/>
        <v>1</v>
      </c>
      <c r="BE83" s="43">
        <f t="shared" si="65"/>
        <v>1</v>
      </c>
      <c r="BF83" s="43">
        <f t="shared" si="66"/>
        <v>1</v>
      </c>
      <c r="BG83" s="43">
        <f t="shared" si="66"/>
        <v>1</v>
      </c>
      <c r="BH83" s="43">
        <f t="shared" si="66"/>
        <v>1</v>
      </c>
      <c r="BI83" s="43">
        <f t="shared" si="66"/>
        <v>1</v>
      </c>
      <c r="BJ83" s="43">
        <f t="shared" si="66"/>
        <v>1</v>
      </c>
      <c r="BK83" s="43">
        <f t="shared" si="66"/>
        <v>1</v>
      </c>
      <c r="BL83" s="43">
        <f t="shared" si="66"/>
        <v>1</v>
      </c>
      <c r="BM83" s="43">
        <f t="shared" si="66"/>
        <v>1</v>
      </c>
      <c r="BN83" s="43">
        <f t="shared" si="66"/>
        <v>1</v>
      </c>
      <c r="BO83" s="43">
        <f t="shared" si="66"/>
        <v>1</v>
      </c>
      <c r="BP83" s="43">
        <f t="shared" si="67"/>
        <v>1</v>
      </c>
      <c r="BQ83" s="43">
        <f t="shared" si="67"/>
        <v>1</v>
      </c>
      <c r="BR83" s="43">
        <f t="shared" si="67"/>
        <v>0</v>
      </c>
      <c r="BS83" s="43">
        <f t="shared" si="67"/>
        <v>0</v>
      </c>
      <c r="BT83" s="43">
        <f t="shared" si="67"/>
        <v>0</v>
      </c>
      <c r="BU83" s="43">
        <f t="shared" si="67"/>
        <v>0</v>
      </c>
      <c r="BV83" s="43">
        <f t="shared" si="67"/>
        <v>0</v>
      </c>
      <c r="BW83" s="43">
        <f t="shared" si="67"/>
        <v>0</v>
      </c>
      <c r="BX83" s="43">
        <f t="shared" si="67"/>
        <v>0</v>
      </c>
      <c r="BY83" s="43">
        <f t="shared" si="67"/>
        <v>0</v>
      </c>
      <c r="BZ83" s="43">
        <f t="shared" si="67"/>
        <v>0</v>
      </c>
      <c r="CA83" s="43">
        <f t="shared" si="67"/>
        <v>0</v>
      </c>
    </row>
    <row r="84" spans="1:79" x14ac:dyDescent="0.25">
      <c r="A84" s="35">
        <v>67</v>
      </c>
      <c r="B84" s="8"/>
      <c r="C84" s="8"/>
      <c r="D84" s="8"/>
      <c r="E84" s="7"/>
      <c r="F84" s="49"/>
      <c r="G84" s="5"/>
      <c r="H84" s="10">
        <f t="shared" si="61"/>
        <v>0</v>
      </c>
      <c r="I84" s="49" t="e">
        <f>VLOOKUP(B84,База!$B$8:$I$52,3,FALSE)*60</f>
        <v>#N/A</v>
      </c>
      <c r="J84" s="35" t="e">
        <f>VLOOKUP(B84,База!$B$8:$I$52,7,FALSE)*I84</f>
        <v>#N/A</v>
      </c>
      <c r="K84" s="35" t="e">
        <f>VLOOKUP(B84,База!$B$8:$I$52,6,FALSE)</f>
        <v>#N/A</v>
      </c>
      <c r="L84" s="35" t="e">
        <f t="shared" si="59"/>
        <v>#N/A</v>
      </c>
      <c r="M84" s="9">
        <f t="shared" si="60"/>
        <v>0</v>
      </c>
      <c r="N84" s="53">
        <f t="shared" si="49"/>
        <v>612.23658315042314</v>
      </c>
      <c r="O84" s="53">
        <f t="shared" si="50"/>
        <v>612.23658315042314</v>
      </c>
      <c r="P84" s="53">
        <f t="shared" si="51"/>
        <v>0</v>
      </c>
      <c r="Q84" s="53">
        <f t="shared" si="52"/>
        <v>612.23658315042314</v>
      </c>
      <c r="R84" s="43">
        <f t="shared" si="62"/>
        <v>1</v>
      </c>
      <c r="S84" s="43">
        <f t="shared" si="62"/>
        <v>1</v>
      </c>
      <c r="T84" s="43">
        <f t="shared" si="62"/>
        <v>1</v>
      </c>
      <c r="U84" s="43">
        <f t="shared" si="62"/>
        <v>1</v>
      </c>
      <c r="V84" s="43">
        <f t="shared" si="62"/>
        <v>1</v>
      </c>
      <c r="W84" s="43">
        <f t="shared" si="62"/>
        <v>1</v>
      </c>
      <c r="X84" s="43">
        <f t="shared" si="62"/>
        <v>1</v>
      </c>
      <c r="Y84" s="43">
        <f t="shared" si="62"/>
        <v>1</v>
      </c>
      <c r="Z84" s="43">
        <f t="shared" si="62"/>
        <v>1</v>
      </c>
      <c r="AA84" s="43">
        <f t="shared" si="62"/>
        <v>1</v>
      </c>
      <c r="AB84" s="43">
        <f t="shared" si="63"/>
        <v>1</v>
      </c>
      <c r="AC84" s="43">
        <f t="shared" si="63"/>
        <v>1</v>
      </c>
      <c r="AD84" s="43">
        <f t="shared" si="63"/>
        <v>1</v>
      </c>
      <c r="AE84" s="43">
        <f t="shared" si="63"/>
        <v>1</v>
      </c>
      <c r="AF84" s="43">
        <f t="shared" si="63"/>
        <v>1</v>
      </c>
      <c r="AG84" s="43">
        <f t="shared" si="63"/>
        <v>1</v>
      </c>
      <c r="AH84" s="43">
        <f t="shared" si="63"/>
        <v>1</v>
      </c>
      <c r="AI84" s="43">
        <f t="shared" si="63"/>
        <v>1</v>
      </c>
      <c r="AJ84" s="43">
        <f t="shared" si="63"/>
        <v>1</v>
      </c>
      <c r="AK84" s="43">
        <f t="shared" si="63"/>
        <v>1</v>
      </c>
      <c r="AL84" s="43">
        <f t="shared" si="64"/>
        <v>1</v>
      </c>
      <c r="AM84" s="43">
        <f t="shared" si="64"/>
        <v>1</v>
      </c>
      <c r="AN84" s="43">
        <f t="shared" si="64"/>
        <v>1</v>
      </c>
      <c r="AO84" s="43">
        <f t="shared" si="64"/>
        <v>1</v>
      </c>
      <c r="AP84" s="43">
        <f t="shared" si="64"/>
        <v>1</v>
      </c>
      <c r="AQ84" s="43">
        <f t="shared" si="64"/>
        <v>1</v>
      </c>
      <c r="AR84" s="43">
        <f t="shared" si="64"/>
        <v>1</v>
      </c>
      <c r="AS84" s="43">
        <f t="shared" si="64"/>
        <v>1</v>
      </c>
      <c r="AT84" s="43">
        <f t="shared" si="64"/>
        <v>1</v>
      </c>
      <c r="AU84" s="43">
        <f t="shared" si="64"/>
        <v>1</v>
      </c>
      <c r="AV84" s="43">
        <f t="shared" si="65"/>
        <v>1</v>
      </c>
      <c r="AW84" s="43">
        <f t="shared" si="65"/>
        <v>1</v>
      </c>
      <c r="AX84" s="43">
        <f t="shared" si="65"/>
        <v>1</v>
      </c>
      <c r="AY84" s="43">
        <f t="shared" si="65"/>
        <v>1</v>
      </c>
      <c r="AZ84" s="43">
        <f t="shared" si="65"/>
        <v>1</v>
      </c>
      <c r="BA84" s="43">
        <f t="shared" si="65"/>
        <v>1</v>
      </c>
      <c r="BB84" s="43">
        <f t="shared" si="65"/>
        <v>1</v>
      </c>
      <c r="BC84" s="43">
        <f t="shared" si="65"/>
        <v>1</v>
      </c>
      <c r="BD84" s="43">
        <f t="shared" si="65"/>
        <v>1</v>
      </c>
      <c r="BE84" s="43">
        <f t="shared" si="65"/>
        <v>1</v>
      </c>
      <c r="BF84" s="43">
        <f t="shared" si="66"/>
        <v>1</v>
      </c>
      <c r="BG84" s="43">
        <f t="shared" si="66"/>
        <v>1</v>
      </c>
      <c r="BH84" s="43">
        <f t="shared" si="66"/>
        <v>1</v>
      </c>
      <c r="BI84" s="43">
        <f t="shared" si="66"/>
        <v>1</v>
      </c>
      <c r="BJ84" s="43">
        <f t="shared" si="66"/>
        <v>1</v>
      </c>
      <c r="BK84" s="43">
        <f t="shared" si="66"/>
        <v>1</v>
      </c>
      <c r="BL84" s="43">
        <f t="shared" si="66"/>
        <v>1</v>
      </c>
      <c r="BM84" s="43">
        <f t="shared" si="66"/>
        <v>1</v>
      </c>
      <c r="BN84" s="43">
        <f t="shared" si="66"/>
        <v>1</v>
      </c>
      <c r="BO84" s="43">
        <f t="shared" si="66"/>
        <v>1</v>
      </c>
      <c r="BP84" s="43">
        <f t="shared" si="67"/>
        <v>1</v>
      </c>
      <c r="BQ84" s="43">
        <f t="shared" si="67"/>
        <v>1</v>
      </c>
      <c r="BR84" s="43">
        <f t="shared" si="67"/>
        <v>0</v>
      </c>
      <c r="BS84" s="43">
        <f t="shared" si="67"/>
        <v>0</v>
      </c>
      <c r="BT84" s="43">
        <f t="shared" si="67"/>
        <v>0</v>
      </c>
      <c r="BU84" s="43">
        <f t="shared" si="67"/>
        <v>0</v>
      </c>
      <c r="BV84" s="43">
        <f t="shared" si="67"/>
        <v>0</v>
      </c>
      <c r="BW84" s="43">
        <f t="shared" si="67"/>
        <v>0</v>
      </c>
      <c r="BX84" s="43">
        <f t="shared" si="67"/>
        <v>0</v>
      </c>
      <c r="BY84" s="43">
        <f t="shared" si="67"/>
        <v>0</v>
      </c>
      <c r="BZ84" s="43">
        <f t="shared" si="67"/>
        <v>0</v>
      </c>
      <c r="CA84" s="43">
        <f t="shared" si="67"/>
        <v>0</v>
      </c>
    </row>
    <row r="85" spans="1:79" x14ac:dyDescent="0.25">
      <c r="A85" s="35">
        <v>68</v>
      </c>
      <c r="B85" s="8"/>
      <c r="C85" s="8"/>
      <c r="D85" s="8"/>
      <c r="E85" s="7"/>
      <c r="F85" s="49"/>
      <c r="G85" s="5"/>
      <c r="H85" s="10">
        <f t="shared" si="61"/>
        <v>0</v>
      </c>
      <c r="I85" s="49" t="e">
        <f>VLOOKUP(B85,База!$B$8:$I$52,3,FALSE)*60</f>
        <v>#N/A</v>
      </c>
      <c r="J85" s="35" t="e">
        <f>VLOOKUP(B85,База!$B$8:$I$52,7,FALSE)*I85</f>
        <v>#N/A</v>
      </c>
      <c r="K85" s="35" t="e">
        <f>VLOOKUP(B85,База!$B$8:$I$52,6,FALSE)</f>
        <v>#N/A</v>
      </c>
      <c r="L85" s="35" t="e">
        <f t="shared" si="59"/>
        <v>#N/A</v>
      </c>
      <c r="M85" s="9">
        <f t="shared" si="60"/>
        <v>0</v>
      </c>
      <c r="N85" s="53">
        <f t="shared" si="49"/>
        <v>612.23658315042314</v>
      </c>
      <c r="O85" s="53">
        <f t="shared" si="50"/>
        <v>612.23658315042314</v>
      </c>
      <c r="P85" s="53">
        <f t="shared" si="51"/>
        <v>0</v>
      </c>
      <c r="Q85" s="53">
        <f t="shared" si="52"/>
        <v>612.23658315042314</v>
      </c>
      <c r="R85" s="43">
        <f t="shared" si="62"/>
        <v>1</v>
      </c>
      <c r="S85" s="43">
        <f t="shared" si="62"/>
        <v>1</v>
      </c>
      <c r="T85" s="43">
        <f t="shared" si="62"/>
        <v>1</v>
      </c>
      <c r="U85" s="43">
        <f t="shared" si="62"/>
        <v>1</v>
      </c>
      <c r="V85" s="43">
        <f t="shared" si="62"/>
        <v>1</v>
      </c>
      <c r="W85" s="43">
        <f t="shared" si="62"/>
        <v>1</v>
      </c>
      <c r="X85" s="43">
        <f t="shared" si="62"/>
        <v>1</v>
      </c>
      <c r="Y85" s="43">
        <f t="shared" si="62"/>
        <v>1</v>
      </c>
      <c r="Z85" s="43">
        <f t="shared" si="62"/>
        <v>1</v>
      </c>
      <c r="AA85" s="43">
        <f t="shared" si="62"/>
        <v>1</v>
      </c>
      <c r="AB85" s="43">
        <f t="shared" si="63"/>
        <v>1</v>
      </c>
      <c r="AC85" s="43">
        <f t="shared" si="63"/>
        <v>1</v>
      </c>
      <c r="AD85" s="43">
        <f t="shared" si="63"/>
        <v>1</v>
      </c>
      <c r="AE85" s="43">
        <f t="shared" si="63"/>
        <v>1</v>
      </c>
      <c r="AF85" s="43">
        <f t="shared" si="63"/>
        <v>1</v>
      </c>
      <c r="AG85" s="43">
        <f t="shared" si="63"/>
        <v>1</v>
      </c>
      <c r="AH85" s="43">
        <f t="shared" si="63"/>
        <v>1</v>
      </c>
      <c r="AI85" s="43">
        <f t="shared" si="63"/>
        <v>1</v>
      </c>
      <c r="AJ85" s="43">
        <f t="shared" si="63"/>
        <v>1</v>
      </c>
      <c r="AK85" s="43">
        <f t="shared" si="63"/>
        <v>1</v>
      </c>
      <c r="AL85" s="43">
        <f t="shared" si="64"/>
        <v>1</v>
      </c>
      <c r="AM85" s="43">
        <f t="shared" si="64"/>
        <v>1</v>
      </c>
      <c r="AN85" s="43">
        <f t="shared" si="64"/>
        <v>1</v>
      </c>
      <c r="AO85" s="43">
        <f t="shared" si="64"/>
        <v>1</v>
      </c>
      <c r="AP85" s="43">
        <f t="shared" si="64"/>
        <v>1</v>
      </c>
      <c r="AQ85" s="43">
        <f t="shared" si="64"/>
        <v>1</v>
      </c>
      <c r="AR85" s="43">
        <f t="shared" si="64"/>
        <v>1</v>
      </c>
      <c r="AS85" s="43">
        <f t="shared" si="64"/>
        <v>1</v>
      </c>
      <c r="AT85" s="43">
        <f t="shared" si="64"/>
        <v>1</v>
      </c>
      <c r="AU85" s="43">
        <f t="shared" si="64"/>
        <v>1</v>
      </c>
      <c r="AV85" s="43">
        <f t="shared" si="65"/>
        <v>1</v>
      </c>
      <c r="AW85" s="43">
        <f t="shared" si="65"/>
        <v>1</v>
      </c>
      <c r="AX85" s="43">
        <f t="shared" si="65"/>
        <v>1</v>
      </c>
      <c r="AY85" s="43">
        <f t="shared" si="65"/>
        <v>1</v>
      </c>
      <c r="AZ85" s="43">
        <f t="shared" si="65"/>
        <v>1</v>
      </c>
      <c r="BA85" s="43">
        <f t="shared" si="65"/>
        <v>1</v>
      </c>
      <c r="BB85" s="43">
        <f t="shared" si="65"/>
        <v>1</v>
      </c>
      <c r="BC85" s="43">
        <f t="shared" si="65"/>
        <v>1</v>
      </c>
      <c r="BD85" s="43">
        <f t="shared" si="65"/>
        <v>1</v>
      </c>
      <c r="BE85" s="43">
        <f t="shared" si="65"/>
        <v>1</v>
      </c>
      <c r="BF85" s="43">
        <f t="shared" si="66"/>
        <v>1</v>
      </c>
      <c r="BG85" s="43">
        <f t="shared" si="66"/>
        <v>1</v>
      </c>
      <c r="BH85" s="43">
        <f t="shared" si="66"/>
        <v>1</v>
      </c>
      <c r="BI85" s="43">
        <f t="shared" si="66"/>
        <v>1</v>
      </c>
      <c r="BJ85" s="43">
        <f t="shared" si="66"/>
        <v>1</v>
      </c>
      <c r="BK85" s="43">
        <f t="shared" si="66"/>
        <v>1</v>
      </c>
      <c r="BL85" s="43">
        <f t="shared" si="66"/>
        <v>1</v>
      </c>
      <c r="BM85" s="43">
        <f t="shared" si="66"/>
        <v>1</v>
      </c>
      <c r="BN85" s="43">
        <f t="shared" si="66"/>
        <v>1</v>
      </c>
      <c r="BO85" s="43">
        <f t="shared" si="66"/>
        <v>1</v>
      </c>
      <c r="BP85" s="43">
        <f t="shared" si="67"/>
        <v>1</v>
      </c>
      <c r="BQ85" s="43">
        <f t="shared" si="67"/>
        <v>1</v>
      </c>
      <c r="BR85" s="43">
        <f t="shared" si="67"/>
        <v>0</v>
      </c>
      <c r="BS85" s="43">
        <f t="shared" si="67"/>
        <v>0</v>
      </c>
      <c r="BT85" s="43">
        <f t="shared" si="67"/>
        <v>0</v>
      </c>
      <c r="BU85" s="43">
        <f t="shared" si="67"/>
        <v>0</v>
      </c>
      <c r="BV85" s="43">
        <f t="shared" si="67"/>
        <v>0</v>
      </c>
      <c r="BW85" s="43">
        <f t="shared" si="67"/>
        <v>0</v>
      </c>
      <c r="BX85" s="43">
        <f t="shared" si="67"/>
        <v>0</v>
      </c>
      <c r="BY85" s="43">
        <f t="shared" si="67"/>
        <v>0</v>
      </c>
      <c r="BZ85" s="43">
        <f t="shared" si="67"/>
        <v>0</v>
      </c>
      <c r="CA85" s="43">
        <f t="shared" si="67"/>
        <v>0</v>
      </c>
    </row>
    <row r="86" spans="1:79" x14ac:dyDescent="0.25">
      <c r="A86" s="35">
        <v>69</v>
      </c>
      <c r="B86" s="8"/>
      <c r="C86" s="8"/>
      <c r="D86" s="8"/>
      <c r="E86" s="7"/>
      <c r="F86" s="49"/>
      <c r="G86" s="5"/>
      <c r="H86" s="10">
        <f t="shared" si="61"/>
        <v>0</v>
      </c>
      <c r="I86" s="49" t="e">
        <f>VLOOKUP(B86,База!$B$8:$I$52,3,FALSE)*60</f>
        <v>#N/A</v>
      </c>
      <c r="J86" s="35" t="e">
        <f>VLOOKUP(B86,База!$B$8:$I$52,7,FALSE)*I86</f>
        <v>#N/A</v>
      </c>
      <c r="K86" s="35" t="e">
        <f>VLOOKUP(B86,База!$B$8:$I$52,6,FALSE)</f>
        <v>#N/A</v>
      </c>
      <c r="L86" s="35" t="e">
        <f t="shared" si="59"/>
        <v>#N/A</v>
      </c>
      <c r="M86" s="9">
        <f t="shared" si="60"/>
        <v>0</v>
      </c>
      <c r="N86" s="53">
        <f t="shared" si="49"/>
        <v>612.23658315042314</v>
      </c>
      <c r="O86" s="53">
        <f t="shared" si="50"/>
        <v>612.23658315042314</v>
      </c>
      <c r="P86" s="53">
        <f t="shared" si="51"/>
        <v>0</v>
      </c>
      <c r="Q86" s="53">
        <f t="shared" si="52"/>
        <v>612.23658315042314</v>
      </c>
      <c r="R86" s="43">
        <f t="shared" si="62"/>
        <v>1</v>
      </c>
      <c r="S86" s="43">
        <f t="shared" si="62"/>
        <v>1</v>
      </c>
      <c r="T86" s="43">
        <f t="shared" si="62"/>
        <v>1</v>
      </c>
      <c r="U86" s="43">
        <f t="shared" si="62"/>
        <v>1</v>
      </c>
      <c r="V86" s="43">
        <f t="shared" si="62"/>
        <v>1</v>
      </c>
      <c r="W86" s="43">
        <f t="shared" si="62"/>
        <v>1</v>
      </c>
      <c r="X86" s="43">
        <f t="shared" si="62"/>
        <v>1</v>
      </c>
      <c r="Y86" s="43">
        <f t="shared" si="62"/>
        <v>1</v>
      </c>
      <c r="Z86" s="43">
        <f t="shared" si="62"/>
        <v>1</v>
      </c>
      <c r="AA86" s="43">
        <f t="shared" si="62"/>
        <v>1</v>
      </c>
      <c r="AB86" s="43">
        <f t="shared" si="63"/>
        <v>1</v>
      </c>
      <c r="AC86" s="43">
        <f t="shared" si="63"/>
        <v>1</v>
      </c>
      <c r="AD86" s="43">
        <f t="shared" si="63"/>
        <v>1</v>
      </c>
      <c r="AE86" s="43">
        <f t="shared" si="63"/>
        <v>1</v>
      </c>
      <c r="AF86" s="43">
        <f t="shared" si="63"/>
        <v>1</v>
      </c>
      <c r="AG86" s="43">
        <f t="shared" si="63"/>
        <v>1</v>
      </c>
      <c r="AH86" s="43">
        <f t="shared" si="63"/>
        <v>1</v>
      </c>
      <c r="AI86" s="43">
        <f t="shared" si="63"/>
        <v>1</v>
      </c>
      <c r="AJ86" s="43">
        <f t="shared" si="63"/>
        <v>1</v>
      </c>
      <c r="AK86" s="43">
        <f t="shared" si="63"/>
        <v>1</v>
      </c>
      <c r="AL86" s="43">
        <f t="shared" si="64"/>
        <v>1</v>
      </c>
      <c r="AM86" s="43">
        <f t="shared" si="64"/>
        <v>1</v>
      </c>
      <c r="AN86" s="43">
        <f t="shared" si="64"/>
        <v>1</v>
      </c>
      <c r="AO86" s="43">
        <f t="shared" si="64"/>
        <v>1</v>
      </c>
      <c r="AP86" s="43">
        <f t="shared" si="64"/>
        <v>1</v>
      </c>
      <c r="AQ86" s="43">
        <f t="shared" si="64"/>
        <v>1</v>
      </c>
      <c r="AR86" s="43">
        <f t="shared" si="64"/>
        <v>1</v>
      </c>
      <c r="AS86" s="43">
        <f t="shared" si="64"/>
        <v>1</v>
      </c>
      <c r="AT86" s="43">
        <f t="shared" si="64"/>
        <v>1</v>
      </c>
      <c r="AU86" s="43">
        <f t="shared" si="64"/>
        <v>1</v>
      </c>
      <c r="AV86" s="43">
        <f t="shared" si="65"/>
        <v>1</v>
      </c>
      <c r="AW86" s="43">
        <f t="shared" si="65"/>
        <v>1</v>
      </c>
      <c r="AX86" s="43">
        <f t="shared" si="65"/>
        <v>1</v>
      </c>
      <c r="AY86" s="43">
        <f t="shared" si="65"/>
        <v>1</v>
      </c>
      <c r="AZ86" s="43">
        <f t="shared" si="65"/>
        <v>1</v>
      </c>
      <c r="BA86" s="43">
        <f t="shared" si="65"/>
        <v>1</v>
      </c>
      <c r="BB86" s="43">
        <f t="shared" si="65"/>
        <v>1</v>
      </c>
      <c r="BC86" s="43">
        <f t="shared" si="65"/>
        <v>1</v>
      </c>
      <c r="BD86" s="43">
        <f t="shared" si="65"/>
        <v>1</v>
      </c>
      <c r="BE86" s="43">
        <f t="shared" si="65"/>
        <v>1</v>
      </c>
      <c r="BF86" s="43">
        <f t="shared" si="66"/>
        <v>1</v>
      </c>
      <c r="BG86" s="43">
        <f t="shared" si="66"/>
        <v>1</v>
      </c>
      <c r="BH86" s="43">
        <f t="shared" si="66"/>
        <v>1</v>
      </c>
      <c r="BI86" s="43">
        <f t="shared" si="66"/>
        <v>1</v>
      </c>
      <c r="BJ86" s="43">
        <f t="shared" si="66"/>
        <v>1</v>
      </c>
      <c r="BK86" s="43">
        <f t="shared" si="66"/>
        <v>1</v>
      </c>
      <c r="BL86" s="43">
        <f t="shared" si="66"/>
        <v>1</v>
      </c>
      <c r="BM86" s="43">
        <f t="shared" si="66"/>
        <v>1</v>
      </c>
      <c r="BN86" s="43">
        <f t="shared" si="66"/>
        <v>1</v>
      </c>
      <c r="BO86" s="43">
        <f t="shared" si="66"/>
        <v>1</v>
      </c>
      <c r="BP86" s="43">
        <f t="shared" si="67"/>
        <v>1</v>
      </c>
      <c r="BQ86" s="43">
        <f t="shared" si="67"/>
        <v>1</v>
      </c>
      <c r="BR86" s="43">
        <f t="shared" si="67"/>
        <v>0</v>
      </c>
      <c r="BS86" s="43">
        <f t="shared" si="67"/>
        <v>0</v>
      </c>
      <c r="BT86" s="43">
        <f t="shared" si="67"/>
        <v>0</v>
      </c>
      <c r="BU86" s="43">
        <f t="shared" si="67"/>
        <v>0</v>
      </c>
      <c r="BV86" s="43">
        <f t="shared" si="67"/>
        <v>0</v>
      </c>
      <c r="BW86" s="43">
        <f t="shared" si="67"/>
        <v>0</v>
      </c>
      <c r="BX86" s="43">
        <f t="shared" si="67"/>
        <v>0</v>
      </c>
      <c r="BY86" s="43">
        <f t="shared" si="67"/>
        <v>0</v>
      </c>
      <c r="BZ86" s="43">
        <f t="shared" si="67"/>
        <v>0</v>
      </c>
      <c r="CA86" s="43">
        <f t="shared" si="67"/>
        <v>0</v>
      </c>
    </row>
    <row r="87" spans="1:79" x14ac:dyDescent="0.25">
      <c r="A87" s="35">
        <v>70</v>
      </c>
      <c r="B87" s="8"/>
      <c r="C87" s="8"/>
      <c r="D87" s="8"/>
      <c r="E87" s="7"/>
      <c r="F87" s="49"/>
      <c r="G87" s="5"/>
      <c r="H87" s="10">
        <f t="shared" si="61"/>
        <v>0</v>
      </c>
      <c r="I87" s="49" t="e">
        <f>VLOOKUP(B87,База!$B$8:$I$52,3,FALSE)*60</f>
        <v>#N/A</v>
      </c>
      <c r="J87" s="35" t="e">
        <f>VLOOKUP(B87,База!$B$8:$I$52,7,FALSE)*I87</f>
        <v>#N/A</v>
      </c>
      <c r="K87" s="35" t="e">
        <f>VLOOKUP(B87,База!$B$8:$I$52,6,FALSE)</f>
        <v>#N/A</v>
      </c>
      <c r="L87" s="35" t="e">
        <f t="shared" si="59"/>
        <v>#N/A</v>
      </c>
      <c r="M87" s="9">
        <f t="shared" si="60"/>
        <v>0</v>
      </c>
      <c r="N87" s="53">
        <f t="shared" si="49"/>
        <v>612.23658315042314</v>
      </c>
      <c r="O87" s="53">
        <f t="shared" si="50"/>
        <v>612.23658315042314</v>
      </c>
      <c r="P87" s="53">
        <f t="shared" si="51"/>
        <v>0</v>
      </c>
      <c r="Q87" s="53">
        <f t="shared" si="52"/>
        <v>612.23658315042314</v>
      </c>
      <c r="R87" s="43">
        <f t="shared" si="62"/>
        <v>1</v>
      </c>
      <c r="S87" s="43">
        <f t="shared" si="62"/>
        <v>1</v>
      </c>
      <c r="T87" s="43">
        <f t="shared" si="62"/>
        <v>1</v>
      </c>
      <c r="U87" s="43">
        <f t="shared" si="62"/>
        <v>1</v>
      </c>
      <c r="V87" s="43">
        <f t="shared" si="62"/>
        <v>1</v>
      </c>
      <c r="W87" s="43">
        <f t="shared" si="62"/>
        <v>1</v>
      </c>
      <c r="X87" s="43">
        <f t="shared" si="62"/>
        <v>1</v>
      </c>
      <c r="Y87" s="43">
        <f t="shared" si="62"/>
        <v>1</v>
      </c>
      <c r="Z87" s="43">
        <f t="shared" si="62"/>
        <v>1</v>
      </c>
      <c r="AA87" s="43">
        <f t="shared" si="62"/>
        <v>1</v>
      </c>
      <c r="AB87" s="43">
        <f t="shared" si="63"/>
        <v>1</v>
      </c>
      <c r="AC87" s="43">
        <f t="shared" si="63"/>
        <v>1</v>
      </c>
      <c r="AD87" s="43">
        <f t="shared" si="63"/>
        <v>1</v>
      </c>
      <c r="AE87" s="43">
        <f t="shared" si="63"/>
        <v>1</v>
      </c>
      <c r="AF87" s="43">
        <f t="shared" si="63"/>
        <v>1</v>
      </c>
      <c r="AG87" s="43">
        <f t="shared" si="63"/>
        <v>1</v>
      </c>
      <c r="AH87" s="43">
        <f t="shared" si="63"/>
        <v>1</v>
      </c>
      <c r="AI87" s="43">
        <f t="shared" si="63"/>
        <v>1</v>
      </c>
      <c r="AJ87" s="43">
        <f t="shared" si="63"/>
        <v>1</v>
      </c>
      <c r="AK87" s="43">
        <f t="shared" si="63"/>
        <v>1</v>
      </c>
      <c r="AL87" s="43">
        <f t="shared" si="64"/>
        <v>1</v>
      </c>
      <c r="AM87" s="43">
        <f t="shared" si="64"/>
        <v>1</v>
      </c>
      <c r="AN87" s="43">
        <f t="shared" si="64"/>
        <v>1</v>
      </c>
      <c r="AO87" s="43">
        <f t="shared" si="64"/>
        <v>1</v>
      </c>
      <c r="AP87" s="43">
        <f t="shared" si="64"/>
        <v>1</v>
      </c>
      <c r="AQ87" s="43">
        <f t="shared" si="64"/>
        <v>1</v>
      </c>
      <c r="AR87" s="43">
        <f t="shared" si="64"/>
        <v>1</v>
      </c>
      <c r="AS87" s="43">
        <f t="shared" si="64"/>
        <v>1</v>
      </c>
      <c r="AT87" s="43">
        <f t="shared" si="64"/>
        <v>1</v>
      </c>
      <c r="AU87" s="43">
        <f t="shared" si="64"/>
        <v>1</v>
      </c>
      <c r="AV87" s="43">
        <f t="shared" si="65"/>
        <v>1</v>
      </c>
      <c r="AW87" s="43">
        <f t="shared" si="65"/>
        <v>1</v>
      </c>
      <c r="AX87" s="43">
        <f t="shared" si="65"/>
        <v>1</v>
      </c>
      <c r="AY87" s="43">
        <f t="shared" si="65"/>
        <v>1</v>
      </c>
      <c r="AZ87" s="43">
        <f t="shared" si="65"/>
        <v>1</v>
      </c>
      <c r="BA87" s="43">
        <f t="shared" si="65"/>
        <v>1</v>
      </c>
      <c r="BB87" s="43">
        <f t="shared" si="65"/>
        <v>1</v>
      </c>
      <c r="BC87" s="43">
        <f t="shared" si="65"/>
        <v>1</v>
      </c>
      <c r="BD87" s="43">
        <f t="shared" si="65"/>
        <v>1</v>
      </c>
      <c r="BE87" s="43">
        <f t="shared" si="65"/>
        <v>1</v>
      </c>
      <c r="BF87" s="43">
        <f t="shared" si="66"/>
        <v>1</v>
      </c>
      <c r="BG87" s="43">
        <f t="shared" si="66"/>
        <v>1</v>
      </c>
      <c r="BH87" s="43">
        <f t="shared" si="66"/>
        <v>1</v>
      </c>
      <c r="BI87" s="43">
        <f t="shared" si="66"/>
        <v>1</v>
      </c>
      <c r="BJ87" s="43">
        <f t="shared" si="66"/>
        <v>1</v>
      </c>
      <c r="BK87" s="43">
        <f t="shared" si="66"/>
        <v>1</v>
      </c>
      <c r="BL87" s="43">
        <f t="shared" si="66"/>
        <v>1</v>
      </c>
      <c r="BM87" s="43">
        <f t="shared" si="66"/>
        <v>1</v>
      </c>
      <c r="BN87" s="43">
        <f t="shared" si="66"/>
        <v>1</v>
      </c>
      <c r="BO87" s="43">
        <f t="shared" si="66"/>
        <v>1</v>
      </c>
      <c r="BP87" s="43">
        <f t="shared" si="67"/>
        <v>1</v>
      </c>
      <c r="BQ87" s="43">
        <f t="shared" si="67"/>
        <v>1</v>
      </c>
      <c r="BR87" s="43">
        <f t="shared" si="67"/>
        <v>0</v>
      </c>
      <c r="BS87" s="43">
        <f t="shared" si="67"/>
        <v>0</v>
      </c>
      <c r="BT87" s="43">
        <f t="shared" si="67"/>
        <v>0</v>
      </c>
      <c r="BU87" s="43">
        <f t="shared" si="67"/>
        <v>0</v>
      </c>
      <c r="BV87" s="43">
        <f t="shared" si="67"/>
        <v>0</v>
      </c>
      <c r="BW87" s="43">
        <f t="shared" si="67"/>
        <v>0</v>
      </c>
      <c r="BX87" s="43">
        <f t="shared" si="67"/>
        <v>0</v>
      </c>
      <c r="BY87" s="43">
        <f t="shared" si="67"/>
        <v>0</v>
      </c>
      <c r="BZ87" s="43">
        <f t="shared" si="67"/>
        <v>0</v>
      </c>
      <c r="CA87" s="43">
        <f t="shared" si="67"/>
        <v>0</v>
      </c>
    </row>
    <row r="88" spans="1:79" x14ac:dyDescent="0.25">
      <c r="A88" s="35">
        <v>71</v>
      </c>
      <c r="B88" s="8"/>
      <c r="C88" s="8"/>
      <c r="D88" s="8"/>
      <c r="E88" s="7"/>
      <c r="F88" s="49"/>
      <c r="G88" s="5"/>
      <c r="H88" s="10">
        <f t="shared" si="61"/>
        <v>0</v>
      </c>
      <c r="I88" s="49" t="e">
        <f>VLOOKUP(B88,База!$B$8:$I$52,3,FALSE)*60</f>
        <v>#N/A</v>
      </c>
      <c r="J88" s="35" t="e">
        <f>VLOOKUP(B88,База!$B$8:$I$52,7,FALSE)*I88</f>
        <v>#N/A</v>
      </c>
      <c r="K88" s="35" t="e">
        <f>VLOOKUP(B88,База!$B$8:$I$52,6,FALSE)</f>
        <v>#N/A</v>
      </c>
      <c r="L88" s="35" t="e">
        <f t="shared" si="59"/>
        <v>#N/A</v>
      </c>
      <c r="M88" s="9">
        <f t="shared" si="60"/>
        <v>0</v>
      </c>
      <c r="N88" s="53">
        <f t="shared" si="49"/>
        <v>612.23658315042314</v>
      </c>
      <c r="O88" s="53">
        <f t="shared" si="50"/>
        <v>612.23658315042314</v>
      </c>
      <c r="P88" s="53">
        <f t="shared" si="51"/>
        <v>0</v>
      </c>
      <c r="Q88" s="53">
        <f t="shared" si="52"/>
        <v>612.23658315042314</v>
      </c>
      <c r="R88" s="43">
        <f t="shared" si="62"/>
        <v>1</v>
      </c>
      <c r="S88" s="43">
        <f t="shared" si="62"/>
        <v>1</v>
      </c>
      <c r="T88" s="43">
        <f t="shared" si="62"/>
        <v>1</v>
      </c>
      <c r="U88" s="43">
        <f t="shared" si="62"/>
        <v>1</v>
      </c>
      <c r="V88" s="43">
        <f t="shared" si="62"/>
        <v>1</v>
      </c>
      <c r="W88" s="43">
        <f t="shared" si="62"/>
        <v>1</v>
      </c>
      <c r="X88" s="43">
        <f t="shared" si="62"/>
        <v>1</v>
      </c>
      <c r="Y88" s="43">
        <f t="shared" si="62"/>
        <v>1</v>
      </c>
      <c r="Z88" s="43">
        <f t="shared" si="62"/>
        <v>1</v>
      </c>
      <c r="AA88" s="43">
        <f t="shared" si="62"/>
        <v>1</v>
      </c>
      <c r="AB88" s="43">
        <f t="shared" si="63"/>
        <v>1</v>
      </c>
      <c r="AC88" s="43">
        <f t="shared" si="63"/>
        <v>1</v>
      </c>
      <c r="AD88" s="43">
        <f t="shared" si="63"/>
        <v>1</v>
      </c>
      <c r="AE88" s="43">
        <f t="shared" si="63"/>
        <v>1</v>
      </c>
      <c r="AF88" s="43">
        <f t="shared" si="63"/>
        <v>1</v>
      </c>
      <c r="AG88" s="43">
        <f t="shared" si="63"/>
        <v>1</v>
      </c>
      <c r="AH88" s="43">
        <f t="shared" si="63"/>
        <v>1</v>
      </c>
      <c r="AI88" s="43">
        <f t="shared" si="63"/>
        <v>1</v>
      </c>
      <c r="AJ88" s="43">
        <f t="shared" si="63"/>
        <v>1</v>
      </c>
      <c r="AK88" s="43">
        <f t="shared" si="63"/>
        <v>1</v>
      </c>
      <c r="AL88" s="43">
        <f t="shared" si="64"/>
        <v>1</v>
      </c>
      <c r="AM88" s="43">
        <f t="shared" si="64"/>
        <v>1</v>
      </c>
      <c r="AN88" s="43">
        <f t="shared" si="64"/>
        <v>1</v>
      </c>
      <c r="AO88" s="43">
        <f t="shared" si="64"/>
        <v>1</v>
      </c>
      <c r="AP88" s="43">
        <f t="shared" si="64"/>
        <v>1</v>
      </c>
      <c r="AQ88" s="43">
        <f t="shared" si="64"/>
        <v>1</v>
      </c>
      <c r="AR88" s="43">
        <f t="shared" si="64"/>
        <v>1</v>
      </c>
      <c r="AS88" s="43">
        <f t="shared" si="64"/>
        <v>1</v>
      </c>
      <c r="AT88" s="43">
        <f t="shared" si="64"/>
        <v>1</v>
      </c>
      <c r="AU88" s="43">
        <f t="shared" si="64"/>
        <v>1</v>
      </c>
      <c r="AV88" s="43">
        <f t="shared" si="65"/>
        <v>1</v>
      </c>
      <c r="AW88" s="43">
        <f t="shared" si="65"/>
        <v>1</v>
      </c>
      <c r="AX88" s="43">
        <f t="shared" si="65"/>
        <v>1</v>
      </c>
      <c r="AY88" s="43">
        <f t="shared" si="65"/>
        <v>1</v>
      </c>
      <c r="AZ88" s="43">
        <f t="shared" si="65"/>
        <v>1</v>
      </c>
      <c r="BA88" s="43">
        <f t="shared" si="65"/>
        <v>1</v>
      </c>
      <c r="BB88" s="43">
        <f t="shared" si="65"/>
        <v>1</v>
      </c>
      <c r="BC88" s="43">
        <f t="shared" si="65"/>
        <v>1</v>
      </c>
      <c r="BD88" s="43">
        <f t="shared" si="65"/>
        <v>1</v>
      </c>
      <c r="BE88" s="43">
        <f t="shared" si="65"/>
        <v>1</v>
      </c>
      <c r="BF88" s="43">
        <f t="shared" si="66"/>
        <v>1</v>
      </c>
      <c r="BG88" s="43">
        <f t="shared" si="66"/>
        <v>1</v>
      </c>
      <c r="BH88" s="43">
        <f t="shared" si="66"/>
        <v>1</v>
      </c>
      <c r="BI88" s="43">
        <f t="shared" si="66"/>
        <v>1</v>
      </c>
      <c r="BJ88" s="43">
        <f t="shared" si="66"/>
        <v>1</v>
      </c>
      <c r="BK88" s="43">
        <f t="shared" si="66"/>
        <v>1</v>
      </c>
      <c r="BL88" s="43">
        <f t="shared" si="66"/>
        <v>1</v>
      </c>
      <c r="BM88" s="43">
        <f t="shared" si="66"/>
        <v>1</v>
      </c>
      <c r="BN88" s="43">
        <f t="shared" si="66"/>
        <v>1</v>
      </c>
      <c r="BO88" s="43">
        <f t="shared" si="66"/>
        <v>1</v>
      </c>
      <c r="BP88" s="43">
        <f t="shared" si="67"/>
        <v>1</v>
      </c>
      <c r="BQ88" s="43">
        <f t="shared" si="67"/>
        <v>1</v>
      </c>
      <c r="BR88" s="43">
        <f t="shared" si="67"/>
        <v>0</v>
      </c>
      <c r="BS88" s="43">
        <f t="shared" si="67"/>
        <v>0</v>
      </c>
      <c r="BT88" s="43">
        <f t="shared" si="67"/>
        <v>0</v>
      </c>
      <c r="BU88" s="43">
        <f t="shared" si="67"/>
        <v>0</v>
      </c>
      <c r="BV88" s="43">
        <f t="shared" si="67"/>
        <v>0</v>
      </c>
      <c r="BW88" s="43">
        <f t="shared" si="67"/>
        <v>0</v>
      </c>
      <c r="BX88" s="43">
        <f t="shared" si="67"/>
        <v>0</v>
      </c>
      <c r="BY88" s="43">
        <f t="shared" si="67"/>
        <v>0</v>
      </c>
      <c r="BZ88" s="43">
        <f t="shared" si="67"/>
        <v>0</v>
      </c>
      <c r="CA88" s="43">
        <f t="shared" si="67"/>
        <v>0</v>
      </c>
    </row>
    <row r="89" spans="1:79" x14ac:dyDescent="0.25">
      <c r="A89" s="35">
        <v>72</v>
      </c>
      <c r="B89" s="8"/>
      <c r="C89" s="8"/>
      <c r="D89" s="8"/>
      <c r="E89" s="7"/>
      <c r="F89" s="49"/>
      <c r="G89" s="5"/>
      <c r="H89" s="10">
        <f t="shared" si="61"/>
        <v>0</v>
      </c>
      <c r="I89" s="49" t="e">
        <f>VLOOKUP(B89,База!$B$8:$I$52,3,FALSE)*60</f>
        <v>#N/A</v>
      </c>
      <c r="J89" s="35" t="e">
        <f>VLOOKUP(B89,База!$B$8:$I$52,7,FALSE)*I89</f>
        <v>#N/A</v>
      </c>
      <c r="K89" s="35" t="e">
        <f>VLOOKUP(B89,База!$B$8:$I$52,6,FALSE)</f>
        <v>#N/A</v>
      </c>
      <c r="L89" s="35" t="e">
        <f t="shared" si="59"/>
        <v>#N/A</v>
      </c>
      <c r="M89" s="9">
        <f t="shared" si="60"/>
        <v>0</v>
      </c>
      <c r="N89" s="53">
        <f t="shared" si="49"/>
        <v>612.23658315042314</v>
      </c>
      <c r="O89" s="53">
        <f t="shared" si="50"/>
        <v>612.23658315042314</v>
      </c>
      <c r="P89" s="53">
        <f t="shared" si="51"/>
        <v>0</v>
      </c>
      <c r="Q89" s="53">
        <f t="shared" si="52"/>
        <v>612.23658315042314</v>
      </c>
      <c r="R89" s="43">
        <f t="shared" si="62"/>
        <v>1</v>
      </c>
      <c r="S89" s="43">
        <f t="shared" si="62"/>
        <v>1</v>
      </c>
      <c r="T89" s="43">
        <f t="shared" si="62"/>
        <v>1</v>
      </c>
      <c r="U89" s="43">
        <f t="shared" si="62"/>
        <v>1</v>
      </c>
      <c r="V89" s="43">
        <f t="shared" si="62"/>
        <v>1</v>
      </c>
      <c r="W89" s="43">
        <f t="shared" si="62"/>
        <v>1</v>
      </c>
      <c r="X89" s="43">
        <f t="shared" si="62"/>
        <v>1</v>
      </c>
      <c r="Y89" s="43">
        <f t="shared" si="62"/>
        <v>1</v>
      </c>
      <c r="Z89" s="43">
        <f t="shared" si="62"/>
        <v>1</v>
      </c>
      <c r="AA89" s="43">
        <f t="shared" si="62"/>
        <v>1</v>
      </c>
      <c r="AB89" s="43">
        <f t="shared" si="63"/>
        <v>1</v>
      </c>
      <c r="AC89" s="43">
        <f t="shared" si="63"/>
        <v>1</v>
      </c>
      <c r="AD89" s="43">
        <f t="shared" si="63"/>
        <v>1</v>
      </c>
      <c r="AE89" s="43">
        <f t="shared" si="63"/>
        <v>1</v>
      </c>
      <c r="AF89" s="43">
        <f t="shared" si="63"/>
        <v>1</v>
      </c>
      <c r="AG89" s="43">
        <f t="shared" si="63"/>
        <v>1</v>
      </c>
      <c r="AH89" s="43">
        <f t="shared" si="63"/>
        <v>1</v>
      </c>
      <c r="AI89" s="43">
        <f t="shared" si="63"/>
        <v>1</v>
      </c>
      <c r="AJ89" s="43">
        <f t="shared" si="63"/>
        <v>1</v>
      </c>
      <c r="AK89" s="43">
        <f t="shared" si="63"/>
        <v>1</v>
      </c>
      <c r="AL89" s="43">
        <f t="shared" si="64"/>
        <v>1</v>
      </c>
      <c r="AM89" s="43">
        <f t="shared" si="64"/>
        <v>1</v>
      </c>
      <c r="AN89" s="43">
        <f t="shared" si="64"/>
        <v>1</v>
      </c>
      <c r="AO89" s="43">
        <f t="shared" si="64"/>
        <v>1</v>
      </c>
      <c r="AP89" s="43">
        <f t="shared" si="64"/>
        <v>1</v>
      </c>
      <c r="AQ89" s="43">
        <f t="shared" si="64"/>
        <v>1</v>
      </c>
      <c r="AR89" s="43">
        <f t="shared" si="64"/>
        <v>1</v>
      </c>
      <c r="AS89" s="43">
        <f t="shared" si="64"/>
        <v>1</v>
      </c>
      <c r="AT89" s="43">
        <f t="shared" si="64"/>
        <v>1</v>
      </c>
      <c r="AU89" s="43">
        <f t="shared" si="64"/>
        <v>1</v>
      </c>
      <c r="AV89" s="43">
        <f t="shared" si="65"/>
        <v>1</v>
      </c>
      <c r="AW89" s="43">
        <f t="shared" si="65"/>
        <v>1</v>
      </c>
      <c r="AX89" s="43">
        <f t="shared" si="65"/>
        <v>1</v>
      </c>
      <c r="AY89" s="43">
        <f t="shared" si="65"/>
        <v>1</v>
      </c>
      <c r="AZ89" s="43">
        <f t="shared" si="65"/>
        <v>1</v>
      </c>
      <c r="BA89" s="43">
        <f t="shared" si="65"/>
        <v>1</v>
      </c>
      <c r="BB89" s="43">
        <f t="shared" si="65"/>
        <v>1</v>
      </c>
      <c r="BC89" s="43">
        <f t="shared" si="65"/>
        <v>1</v>
      </c>
      <c r="BD89" s="43">
        <f t="shared" si="65"/>
        <v>1</v>
      </c>
      <c r="BE89" s="43">
        <f t="shared" si="65"/>
        <v>1</v>
      </c>
      <c r="BF89" s="43">
        <f t="shared" si="66"/>
        <v>1</v>
      </c>
      <c r="BG89" s="43">
        <f t="shared" si="66"/>
        <v>1</v>
      </c>
      <c r="BH89" s="43">
        <f t="shared" si="66"/>
        <v>1</v>
      </c>
      <c r="BI89" s="43">
        <f t="shared" si="66"/>
        <v>1</v>
      </c>
      <c r="BJ89" s="43">
        <f t="shared" si="66"/>
        <v>1</v>
      </c>
      <c r="BK89" s="43">
        <f t="shared" si="66"/>
        <v>1</v>
      </c>
      <c r="BL89" s="43">
        <f t="shared" si="66"/>
        <v>1</v>
      </c>
      <c r="BM89" s="43">
        <f t="shared" si="66"/>
        <v>1</v>
      </c>
      <c r="BN89" s="43">
        <f t="shared" si="66"/>
        <v>1</v>
      </c>
      <c r="BO89" s="43">
        <f t="shared" si="66"/>
        <v>1</v>
      </c>
      <c r="BP89" s="43">
        <f t="shared" si="67"/>
        <v>1</v>
      </c>
      <c r="BQ89" s="43">
        <f t="shared" si="67"/>
        <v>1</v>
      </c>
      <c r="BR89" s="43">
        <f t="shared" si="67"/>
        <v>0</v>
      </c>
      <c r="BS89" s="43">
        <f t="shared" si="67"/>
        <v>0</v>
      </c>
      <c r="BT89" s="43">
        <f t="shared" si="67"/>
        <v>0</v>
      </c>
      <c r="BU89" s="43">
        <f t="shared" si="67"/>
        <v>0</v>
      </c>
      <c r="BV89" s="43">
        <f t="shared" si="67"/>
        <v>0</v>
      </c>
      <c r="BW89" s="43">
        <f t="shared" si="67"/>
        <v>0</v>
      </c>
      <c r="BX89" s="43">
        <f t="shared" si="67"/>
        <v>0</v>
      </c>
      <c r="BY89" s="43">
        <f t="shared" si="67"/>
        <v>0</v>
      </c>
      <c r="BZ89" s="43">
        <f t="shared" si="67"/>
        <v>0</v>
      </c>
      <c r="CA89" s="43">
        <f t="shared" si="67"/>
        <v>0</v>
      </c>
    </row>
    <row r="90" spans="1:79" x14ac:dyDescent="0.25">
      <c r="A90" s="35">
        <v>73</v>
      </c>
      <c r="B90" s="8"/>
      <c r="C90" s="8"/>
      <c r="D90" s="8"/>
      <c r="E90" s="7"/>
      <c r="F90" s="49"/>
      <c r="G90" s="5"/>
      <c r="H90" s="10">
        <f t="shared" si="61"/>
        <v>0</v>
      </c>
      <c r="I90" s="49" t="e">
        <f>VLOOKUP(B90,База!$B$8:$I$52,3,FALSE)*60</f>
        <v>#N/A</v>
      </c>
      <c r="J90" s="35" t="e">
        <f>VLOOKUP(B90,База!$B$8:$I$52,7,FALSE)*I90</f>
        <v>#N/A</v>
      </c>
      <c r="K90" s="35" t="e">
        <f>VLOOKUP(B90,База!$B$8:$I$52,6,FALSE)</f>
        <v>#N/A</v>
      </c>
      <c r="L90" s="35" t="e">
        <f t="shared" si="59"/>
        <v>#N/A</v>
      </c>
      <c r="M90" s="9">
        <f t="shared" si="60"/>
        <v>0</v>
      </c>
      <c r="N90" s="53">
        <f t="shared" si="49"/>
        <v>612.23658315042314</v>
      </c>
      <c r="O90" s="53">
        <f t="shared" si="50"/>
        <v>612.23658315042314</v>
      </c>
      <c r="P90" s="53">
        <f t="shared" si="51"/>
        <v>0</v>
      </c>
      <c r="Q90" s="53">
        <f t="shared" si="52"/>
        <v>612.23658315042314</v>
      </c>
      <c r="R90" s="43">
        <f t="shared" si="62"/>
        <v>1</v>
      </c>
      <c r="S90" s="43">
        <f t="shared" si="62"/>
        <v>1</v>
      </c>
      <c r="T90" s="43">
        <f t="shared" si="62"/>
        <v>1</v>
      </c>
      <c r="U90" s="43">
        <f t="shared" si="62"/>
        <v>1</v>
      </c>
      <c r="V90" s="43">
        <f t="shared" si="62"/>
        <v>1</v>
      </c>
      <c r="W90" s="43">
        <f t="shared" si="62"/>
        <v>1</v>
      </c>
      <c r="X90" s="43">
        <f t="shared" si="62"/>
        <v>1</v>
      </c>
      <c r="Y90" s="43">
        <f t="shared" si="62"/>
        <v>1</v>
      </c>
      <c r="Z90" s="43">
        <f t="shared" si="62"/>
        <v>1</v>
      </c>
      <c r="AA90" s="43">
        <f t="shared" si="62"/>
        <v>1</v>
      </c>
      <c r="AB90" s="43">
        <f t="shared" si="63"/>
        <v>1</v>
      </c>
      <c r="AC90" s="43">
        <f t="shared" si="63"/>
        <v>1</v>
      </c>
      <c r="AD90" s="43">
        <f t="shared" si="63"/>
        <v>1</v>
      </c>
      <c r="AE90" s="43">
        <f t="shared" si="63"/>
        <v>1</v>
      </c>
      <c r="AF90" s="43">
        <f t="shared" si="63"/>
        <v>1</v>
      </c>
      <c r="AG90" s="43">
        <f t="shared" si="63"/>
        <v>1</v>
      </c>
      <c r="AH90" s="43">
        <f t="shared" si="63"/>
        <v>1</v>
      </c>
      <c r="AI90" s="43">
        <f t="shared" si="63"/>
        <v>1</v>
      </c>
      <c r="AJ90" s="43">
        <f t="shared" si="63"/>
        <v>1</v>
      </c>
      <c r="AK90" s="43">
        <f t="shared" si="63"/>
        <v>1</v>
      </c>
      <c r="AL90" s="43">
        <f t="shared" si="64"/>
        <v>1</v>
      </c>
      <c r="AM90" s="43">
        <f t="shared" si="64"/>
        <v>1</v>
      </c>
      <c r="AN90" s="43">
        <f t="shared" si="64"/>
        <v>1</v>
      </c>
      <c r="AO90" s="43">
        <f t="shared" si="64"/>
        <v>1</v>
      </c>
      <c r="AP90" s="43">
        <f t="shared" si="64"/>
        <v>1</v>
      </c>
      <c r="AQ90" s="43">
        <f t="shared" si="64"/>
        <v>1</v>
      </c>
      <c r="AR90" s="43">
        <f t="shared" si="64"/>
        <v>1</v>
      </c>
      <c r="AS90" s="43">
        <f t="shared" si="64"/>
        <v>1</v>
      </c>
      <c r="AT90" s="43">
        <f t="shared" si="64"/>
        <v>1</v>
      </c>
      <c r="AU90" s="43">
        <f t="shared" si="64"/>
        <v>1</v>
      </c>
      <c r="AV90" s="43">
        <f t="shared" si="65"/>
        <v>1</v>
      </c>
      <c r="AW90" s="43">
        <f t="shared" si="65"/>
        <v>1</v>
      </c>
      <c r="AX90" s="43">
        <f t="shared" si="65"/>
        <v>1</v>
      </c>
      <c r="AY90" s="43">
        <f t="shared" si="65"/>
        <v>1</v>
      </c>
      <c r="AZ90" s="43">
        <f t="shared" si="65"/>
        <v>1</v>
      </c>
      <c r="BA90" s="43">
        <f t="shared" si="65"/>
        <v>1</v>
      </c>
      <c r="BB90" s="43">
        <f t="shared" si="65"/>
        <v>1</v>
      </c>
      <c r="BC90" s="43">
        <f t="shared" si="65"/>
        <v>1</v>
      </c>
      <c r="BD90" s="43">
        <f t="shared" si="65"/>
        <v>1</v>
      </c>
      <c r="BE90" s="43">
        <f t="shared" si="65"/>
        <v>1</v>
      </c>
      <c r="BF90" s="43">
        <f t="shared" si="66"/>
        <v>1</v>
      </c>
      <c r="BG90" s="43">
        <f t="shared" si="66"/>
        <v>1</v>
      </c>
      <c r="BH90" s="43">
        <f t="shared" si="66"/>
        <v>1</v>
      </c>
      <c r="BI90" s="43">
        <f t="shared" si="66"/>
        <v>1</v>
      </c>
      <c r="BJ90" s="43">
        <f t="shared" si="66"/>
        <v>1</v>
      </c>
      <c r="BK90" s="43">
        <f t="shared" si="66"/>
        <v>1</v>
      </c>
      <c r="BL90" s="43">
        <f t="shared" si="66"/>
        <v>1</v>
      </c>
      <c r="BM90" s="43">
        <f t="shared" si="66"/>
        <v>1</v>
      </c>
      <c r="BN90" s="43">
        <f t="shared" si="66"/>
        <v>1</v>
      </c>
      <c r="BO90" s="43">
        <f t="shared" si="66"/>
        <v>1</v>
      </c>
      <c r="BP90" s="43">
        <f t="shared" si="67"/>
        <v>1</v>
      </c>
      <c r="BQ90" s="43">
        <f t="shared" si="67"/>
        <v>1</v>
      </c>
      <c r="BR90" s="43">
        <f t="shared" si="67"/>
        <v>0</v>
      </c>
      <c r="BS90" s="43">
        <f t="shared" si="67"/>
        <v>0</v>
      </c>
      <c r="BT90" s="43">
        <f t="shared" si="67"/>
        <v>0</v>
      </c>
      <c r="BU90" s="43">
        <f t="shared" si="67"/>
        <v>0</v>
      </c>
      <c r="BV90" s="43">
        <f t="shared" si="67"/>
        <v>0</v>
      </c>
      <c r="BW90" s="43">
        <f t="shared" si="67"/>
        <v>0</v>
      </c>
      <c r="BX90" s="43">
        <f t="shared" si="67"/>
        <v>0</v>
      </c>
      <c r="BY90" s="43">
        <f t="shared" si="67"/>
        <v>0</v>
      </c>
      <c r="BZ90" s="43">
        <f t="shared" si="67"/>
        <v>0</v>
      </c>
      <c r="CA90" s="43">
        <f t="shared" si="67"/>
        <v>0</v>
      </c>
    </row>
    <row r="91" spans="1:79" x14ac:dyDescent="0.25">
      <c r="A91" s="35">
        <v>74</v>
      </c>
      <c r="B91" s="8"/>
      <c r="C91" s="8"/>
      <c r="D91" s="8"/>
      <c r="E91" s="7"/>
      <c r="F91" s="49"/>
      <c r="G91" s="5"/>
      <c r="H91" s="10">
        <f t="shared" si="61"/>
        <v>0</v>
      </c>
      <c r="I91" s="49" t="e">
        <f>VLOOKUP(B91,База!$B$8:$I$52,3,FALSE)*60</f>
        <v>#N/A</v>
      </c>
      <c r="J91" s="35" t="e">
        <f>VLOOKUP(B91,База!$B$8:$I$52,7,FALSE)*I91</f>
        <v>#N/A</v>
      </c>
      <c r="K91" s="35" t="e">
        <f>VLOOKUP(B91,База!$B$8:$I$52,6,FALSE)</f>
        <v>#N/A</v>
      </c>
      <c r="L91" s="35" t="e">
        <f t="shared" si="59"/>
        <v>#N/A</v>
      </c>
      <c r="M91" s="9">
        <f t="shared" si="60"/>
        <v>0</v>
      </c>
      <c r="N91" s="53">
        <f t="shared" si="49"/>
        <v>612.23658315042314</v>
      </c>
      <c r="O91" s="53">
        <f t="shared" si="50"/>
        <v>612.23658315042314</v>
      </c>
      <c r="P91" s="53">
        <f t="shared" si="51"/>
        <v>0</v>
      </c>
      <c r="Q91" s="53">
        <f t="shared" si="52"/>
        <v>612.23658315042314</v>
      </c>
      <c r="R91" s="43">
        <f t="shared" si="62"/>
        <v>1</v>
      </c>
      <c r="S91" s="43">
        <f t="shared" si="62"/>
        <v>1</v>
      </c>
      <c r="T91" s="43">
        <f t="shared" si="62"/>
        <v>1</v>
      </c>
      <c r="U91" s="43">
        <f t="shared" si="62"/>
        <v>1</v>
      </c>
      <c r="V91" s="43">
        <f t="shared" si="62"/>
        <v>1</v>
      </c>
      <c r="W91" s="43">
        <f t="shared" si="62"/>
        <v>1</v>
      </c>
      <c r="X91" s="43">
        <f t="shared" si="62"/>
        <v>1</v>
      </c>
      <c r="Y91" s="43">
        <f t="shared" si="62"/>
        <v>1</v>
      </c>
      <c r="Z91" s="43">
        <f t="shared" si="62"/>
        <v>1</v>
      </c>
      <c r="AA91" s="43">
        <f t="shared" si="62"/>
        <v>1</v>
      </c>
      <c r="AB91" s="43">
        <f t="shared" si="63"/>
        <v>1</v>
      </c>
      <c r="AC91" s="43">
        <f t="shared" si="63"/>
        <v>1</v>
      </c>
      <c r="AD91" s="43">
        <f t="shared" si="63"/>
        <v>1</v>
      </c>
      <c r="AE91" s="43">
        <f t="shared" si="63"/>
        <v>1</v>
      </c>
      <c r="AF91" s="43">
        <f t="shared" si="63"/>
        <v>1</v>
      </c>
      <c r="AG91" s="43">
        <f t="shared" si="63"/>
        <v>1</v>
      </c>
      <c r="AH91" s="43">
        <f t="shared" si="63"/>
        <v>1</v>
      </c>
      <c r="AI91" s="43">
        <f t="shared" si="63"/>
        <v>1</v>
      </c>
      <c r="AJ91" s="43">
        <f t="shared" si="63"/>
        <v>1</v>
      </c>
      <c r="AK91" s="43">
        <f t="shared" si="63"/>
        <v>1</v>
      </c>
      <c r="AL91" s="43">
        <f t="shared" si="64"/>
        <v>1</v>
      </c>
      <c r="AM91" s="43">
        <f t="shared" si="64"/>
        <v>1</v>
      </c>
      <c r="AN91" s="43">
        <f t="shared" si="64"/>
        <v>1</v>
      </c>
      <c r="AO91" s="43">
        <f t="shared" si="64"/>
        <v>1</v>
      </c>
      <c r="AP91" s="43">
        <f t="shared" si="64"/>
        <v>1</v>
      </c>
      <c r="AQ91" s="43">
        <f t="shared" si="64"/>
        <v>1</v>
      </c>
      <c r="AR91" s="43">
        <f t="shared" si="64"/>
        <v>1</v>
      </c>
      <c r="AS91" s="43">
        <f t="shared" si="64"/>
        <v>1</v>
      </c>
      <c r="AT91" s="43">
        <f t="shared" si="64"/>
        <v>1</v>
      </c>
      <c r="AU91" s="43">
        <f t="shared" si="64"/>
        <v>1</v>
      </c>
      <c r="AV91" s="43">
        <f t="shared" si="65"/>
        <v>1</v>
      </c>
      <c r="AW91" s="43">
        <f t="shared" si="65"/>
        <v>1</v>
      </c>
      <c r="AX91" s="43">
        <f t="shared" si="65"/>
        <v>1</v>
      </c>
      <c r="AY91" s="43">
        <f t="shared" si="65"/>
        <v>1</v>
      </c>
      <c r="AZ91" s="43">
        <f t="shared" si="65"/>
        <v>1</v>
      </c>
      <c r="BA91" s="43">
        <f t="shared" si="65"/>
        <v>1</v>
      </c>
      <c r="BB91" s="43">
        <f t="shared" si="65"/>
        <v>1</v>
      </c>
      <c r="BC91" s="43">
        <f t="shared" si="65"/>
        <v>1</v>
      </c>
      <c r="BD91" s="43">
        <f t="shared" si="65"/>
        <v>1</v>
      </c>
      <c r="BE91" s="43">
        <f t="shared" si="65"/>
        <v>1</v>
      </c>
      <c r="BF91" s="43">
        <f t="shared" si="66"/>
        <v>1</v>
      </c>
      <c r="BG91" s="43">
        <f t="shared" si="66"/>
        <v>1</v>
      </c>
      <c r="BH91" s="43">
        <f t="shared" si="66"/>
        <v>1</v>
      </c>
      <c r="BI91" s="43">
        <f t="shared" si="66"/>
        <v>1</v>
      </c>
      <c r="BJ91" s="43">
        <f t="shared" si="66"/>
        <v>1</v>
      </c>
      <c r="BK91" s="43">
        <f t="shared" si="66"/>
        <v>1</v>
      </c>
      <c r="BL91" s="43">
        <f t="shared" si="66"/>
        <v>1</v>
      </c>
      <c r="BM91" s="43">
        <f t="shared" si="66"/>
        <v>1</v>
      </c>
      <c r="BN91" s="43">
        <f t="shared" si="66"/>
        <v>1</v>
      </c>
      <c r="BO91" s="43">
        <f t="shared" si="66"/>
        <v>1</v>
      </c>
      <c r="BP91" s="43">
        <f t="shared" si="67"/>
        <v>1</v>
      </c>
      <c r="BQ91" s="43">
        <f t="shared" si="67"/>
        <v>1</v>
      </c>
      <c r="BR91" s="43">
        <f t="shared" si="67"/>
        <v>0</v>
      </c>
      <c r="BS91" s="43">
        <f t="shared" si="67"/>
        <v>0</v>
      </c>
      <c r="BT91" s="43">
        <f t="shared" si="67"/>
        <v>0</v>
      </c>
      <c r="BU91" s="43">
        <f t="shared" si="67"/>
        <v>0</v>
      </c>
      <c r="BV91" s="43">
        <f t="shared" si="67"/>
        <v>0</v>
      </c>
      <c r="BW91" s="43">
        <f t="shared" si="67"/>
        <v>0</v>
      </c>
      <c r="BX91" s="43">
        <f t="shared" si="67"/>
        <v>0</v>
      </c>
      <c r="BY91" s="43">
        <f t="shared" si="67"/>
        <v>0</v>
      </c>
      <c r="BZ91" s="43">
        <f t="shared" si="67"/>
        <v>0</v>
      </c>
      <c r="CA91" s="43">
        <f t="shared" si="67"/>
        <v>0</v>
      </c>
    </row>
    <row r="92" spans="1:79" x14ac:dyDescent="0.25">
      <c r="A92" s="35">
        <v>75</v>
      </c>
      <c r="B92" s="8"/>
      <c r="C92" s="8"/>
      <c r="D92" s="8"/>
      <c r="E92" s="7"/>
      <c r="F92" s="49"/>
      <c r="G92" s="5"/>
      <c r="H92" s="10">
        <f t="shared" si="61"/>
        <v>0</v>
      </c>
      <c r="I92" s="49" t="e">
        <f>VLOOKUP(B92,База!$B$8:$I$52,3,FALSE)*60</f>
        <v>#N/A</v>
      </c>
      <c r="J92" s="35" t="e">
        <f>VLOOKUP(B92,База!$B$8:$I$52,7,FALSE)*I92</f>
        <v>#N/A</v>
      </c>
      <c r="K92" s="35" t="e">
        <f>VLOOKUP(B92,База!$B$8:$I$52,6,FALSE)</f>
        <v>#N/A</v>
      </c>
      <c r="L92" s="35" t="e">
        <f t="shared" si="59"/>
        <v>#N/A</v>
      </c>
      <c r="M92" s="9">
        <f t="shared" si="60"/>
        <v>0</v>
      </c>
      <c r="N92" s="53">
        <f t="shared" si="49"/>
        <v>612.23658315042314</v>
      </c>
      <c r="O92" s="53">
        <f t="shared" si="50"/>
        <v>612.23658315042314</v>
      </c>
      <c r="P92" s="53">
        <f t="shared" si="51"/>
        <v>0</v>
      </c>
      <c r="Q92" s="53">
        <f t="shared" si="52"/>
        <v>612.23658315042314</v>
      </c>
      <c r="R92" s="43">
        <f t="shared" ref="R92:AA101" si="68">IF($Q92&gt;R$10,IF($Q92-$P92&lt;=R$10,$L92,1),0)</f>
        <v>1</v>
      </c>
      <c r="S92" s="43">
        <f t="shared" si="68"/>
        <v>1</v>
      </c>
      <c r="T92" s="43">
        <f t="shared" si="68"/>
        <v>1</v>
      </c>
      <c r="U92" s="43">
        <f t="shared" si="68"/>
        <v>1</v>
      </c>
      <c r="V92" s="43">
        <f t="shared" si="68"/>
        <v>1</v>
      </c>
      <c r="W92" s="43">
        <f t="shared" si="68"/>
        <v>1</v>
      </c>
      <c r="X92" s="43">
        <f t="shared" si="68"/>
        <v>1</v>
      </c>
      <c r="Y92" s="43">
        <f t="shared" si="68"/>
        <v>1</v>
      </c>
      <c r="Z92" s="43">
        <f t="shared" si="68"/>
        <v>1</v>
      </c>
      <c r="AA92" s="43">
        <f t="shared" si="68"/>
        <v>1</v>
      </c>
      <c r="AB92" s="43">
        <f t="shared" ref="AB92:AK101" si="69">IF($Q92&gt;AB$10,IF($Q92-$P92&lt;=AB$10,$L92,1),0)</f>
        <v>1</v>
      </c>
      <c r="AC92" s="43">
        <f t="shared" si="69"/>
        <v>1</v>
      </c>
      <c r="AD92" s="43">
        <f t="shared" si="69"/>
        <v>1</v>
      </c>
      <c r="AE92" s="43">
        <f t="shared" si="69"/>
        <v>1</v>
      </c>
      <c r="AF92" s="43">
        <f t="shared" si="69"/>
        <v>1</v>
      </c>
      <c r="AG92" s="43">
        <f t="shared" si="69"/>
        <v>1</v>
      </c>
      <c r="AH92" s="43">
        <f t="shared" si="69"/>
        <v>1</v>
      </c>
      <c r="AI92" s="43">
        <f t="shared" si="69"/>
        <v>1</v>
      </c>
      <c r="AJ92" s="43">
        <f t="shared" si="69"/>
        <v>1</v>
      </c>
      <c r="AK92" s="43">
        <f t="shared" si="69"/>
        <v>1</v>
      </c>
      <c r="AL92" s="43">
        <f t="shared" ref="AL92:AU101" si="70">IF($Q92&gt;AL$10,IF($Q92-$P92&lt;=AL$10,$L92,1),0)</f>
        <v>1</v>
      </c>
      <c r="AM92" s="43">
        <f t="shared" si="70"/>
        <v>1</v>
      </c>
      <c r="AN92" s="43">
        <f t="shared" si="70"/>
        <v>1</v>
      </c>
      <c r="AO92" s="43">
        <f t="shared" si="70"/>
        <v>1</v>
      </c>
      <c r="AP92" s="43">
        <f t="shared" si="70"/>
        <v>1</v>
      </c>
      <c r="AQ92" s="43">
        <f t="shared" si="70"/>
        <v>1</v>
      </c>
      <c r="AR92" s="43">
        <f t="shared" si="70"/>
        <v>1</v>
      </c>
      <c r="AS92" s="43">
        <f t="shared" si="70"/>
        <v>1</v>
      </c>
      <c r="AT92" s="43">
        <f t="shared" si="70"/>
        <v>1</v>
      </c>
      <c r="AU92" s="43">
        <f t="shared" si="70"/>
        <v>1</v>
      </c>
      <c r="AV92" s="43">
        <f t="shared" ref="AV92:BE101" si="71">IF($Q92&gt;AV$10,IF($Q92-$P92&lt;=AV$10,$L92,1),0)</f>
        <v>1</v>
      </c>
      <c r="AW92" s="43">
        <f t="shared" si="71"/>
        <v>1</v>
      </c>
      <c r="AX92" s="43">
        <f t="shared" si="71"/>
        <v>1</v>
      </c>
      <c r="AY92" s="43">
        <f t="shared" si="71"/>
        <v>1</v>
      </c>
      <c r="AZ92" s="43">
        <f t="shared" si="71"/>
        <v>1</v>
      </c>
      <c r="BA92" s="43">
        <f t="shared" si="71"/>
        <v>1</v>
      </c>
      <c r="BB92" s="43">
        <f t="shared" si="71"/>
        <v>1</v>
      </c>
      <c r="BC92" s="43">
        <f t="shared" si="71"/>
        <v>1</v>
      </c>
      <c r="BD92" s="43">
        <f t="shared" si="71"/>
        <v>1</v>
      </c>
      <c r="BE92" s="43">
        <f t="shared" si="71"/>
        <v>1</v>
      </c>
      <c r="BF92" s="43">
        <f t="shared" ref="BF92:BO101" si="72">IF($Q92&gt;BF$10,IF($Q92-$P92&lt;=BF$10,$L92,1),0)</f>
        <v>1</v>
      </c>
      <c r="BG92" s="43">
        <f t="shared" si="72"/>
        <v>1</v>
      </c>
      <c r="BH92" s="43">
        <f t="shared" si="72"/>
        <v>1</v>
      </c>
      <c r="BI92" s="43">
        <f t="shared" si="72"/>
        <v>1</v>
      </c>
      <c r="BJ92" s="43">
        <f t="shared" si="72"/>
        <v>1</v>
      </c>
      <c r="BK92" s="43">
        <f t="shared" si="72"/>
        <v>1</v>
      </c>
      <c r="BL92" s="43">
        <f t="shared" si="72"/>
        <v>1</v>
      </c>
      <c r="BM92" s="43">
        <f t="shared" si="72"/>
        <v>1</v>
      </c>
      <c r="BN92" s="43">
        <f t="shared" si="72"/>
        <v>1</v>
      </c>
      <c r="BO92" s="43">
        <f t="shared" si="72"/>
        <v>1</v>
      </c>
      <c r="BP92" s="43">
        <f t="shared" ref="BP92:CA101" si="73">IF($Q92&gt;BP$10,IF($Q92-$P92&lt;=BP$10,$L92,1),0)</f>
        <v>1</v>
      </c>
      <c r="BQ92" s="43">
        <f t="shared" si="73"/>
        <v>1</v>
      </c>
      <c r="BR92" s="43">
        <f t="shared" si="73"/>
        <v>0</v>
      </c>
      <c r="BS92" s="43">
        <f t="shared" si="73"/>
        <v>0</v>
      </c>
      <c r="BT92" s="43">
        <f t="shared" si="73"/>
        <v>0</v>
      </c>
      <c r="BU92" s="43">
        <f t="shared" si="73"/>
        <v>0</v>
      </c>
      <c r="BV92" s="43">
        <f t="shared" si="73"/>
        <v>0</v>
      </c>
      <c r="BW92" s="43">
        <f t="shared" si="73"/>
        <v>0</v>
      </c>
      <c r="BX92" s="43">
        <f t="shared" si="73"/>
        <v>0</v>
      </c>
      <c r="BY92" s="43">
        <f t="shared" si="73"/>
        <v>0</v>
      </c>
      <c r="BZ92" s="43">
        <f t="shared" si="73"/>
        <v>0</v>
      </c>
      <c r="CA92" s="43">
        <f t="shared" si="73"/>
        <v>0</v>
      </c>
    </row>
    <row r="93" spans="1:79" x14ac:dyDescent="0.25">
      <c r="A93" s="35">
        <v>76</v>
      </c>
      <c r="B93" s="8"/>
      <c r="C93" s="8"/>
      <c r="D93" s="8"/>
      <c r="E93" s="7"/>
      <c r="F93" s="49"/>
      <c r="G93" s="5"/>
      <c r="H93" s="10">
        <f t="shared" si="61"/>
        <v>0</v>
      </c>
      <c r="I93" s="49" t="e">
        <f>VLOOKUP(B93,База!$B$8:$I$52,3,FALSE)*60</f>
        <v>#N/A</v>
      </c>
      <c r="J93" s="35" t="e">
        <f>VLOOKUP(B93,База!$B$8:$I$52,7,FALSE)*I93</f>
        <v>#N/A</v>
      </c>
      <c r="K93" s="35" t="e">
        <f>VLOOKUP(B93,База!$B$8:$I$52,6,FALSE)</f>
        <v>#N/A</v>
      </c>
      <c r="L93" s="35" t="e">
        <f t="shared" si="59"/>
        <v>#N/A</v>
      </c>
      <c r="M93" s="9">
        <f t="shared" si="60"/>
        <v>0</v>
      </c>
      <c r="N93" s="53">
        <f t="shared" si="49"/>
        <v>612.23658315042314</v>
      </c>
      <c r="O93" s="53">
        <f t="shared" si="50"/>
        <v>612.23658315042314</v>
      </c>
      <c r="P93" s="53">
        <f t="shared" si="51"/>
        <v>0</v>
      </c>
      <c r="Q93" s="53">
        <f t="shared" si="52"/>
        <v>612.23658315042314</v>
      </c>
      <c r="R93" s="43">
        <f t="shared" si="68"/>
        <v>1</v>
      </c>
      <c r="S93" s="43">
        <f t="shared" si="68"/>
        <v>1</v>
      </c>
      <c r="T93" s="43">
        <f t="shared" si="68"/>
        <v>1</v>
      </c>
      <c r="U93" s="43">
        <f t="shared" si="68"/>
        <v>1</v>
      </c>
      <c r="V93" s="43">
        <f t="shared" si="68"/>
        <v>1</v>
      </c>
      <c r="W93" s="43">
        <f t="shared" si="68"/>
        <v>1</v>
      </c>
      <c r="X93" s="43">
        <f t="shared" si="68"/>
        <v>1</v>
      </c>
      <c r="Y93" s="43">
        <f t="shared" si="68"/>
        <v>1</v>
      </c>
      <c r="Z93" s="43">
        <f t="shared" si="68"/>
        <v>1</v>
      </c>
      <c r="AA93" s="43">
        <f t="shared" si="68"/>
        <v>1</v>
      </c>
      <c r="AB93" s="43">
        <f t="shared" si="69"/>
        <v>1</v>
      </c>
      <c r="AC93" s="43">
        <f t="shared" si="69"/>
        <v>1</v>
      </c>
      <c r="AD93" s="43">
        <f t="shared" si="69"/>
        <v>1</v>
      </c>
      <c r="AE93" s="43">
        <f t="shared" si="69"/>
        <v>1</v>
      </c>
      <c r="AF93" s="43">
        <f t="shared" si="69"/>
        <v>1</v>
      </c>
      <c r="AG93" s="43">
        <f t="shared" si="69"/>
        <v>1</v>
      </c>
      <c r="AH93" s="43">
        <f t="shared" si="69"/>
        <v>1</v>
      </c>
      <c r="AI93" s="43">
        <f t="shared" si="69"/>
        <v>1</v>
      </c>
      <c r="AJ93" s="43">
        <f t="shared" si="69"/>
        <v>1</v>
      </c>
      <c r="AK93" s="43">
        <f t="shared" si="69"/>
        <v>1</v>
      </c>
      <c r="AL93" s="43">
        <f t="shared" si="70"/>
        <v>1</v>
      </c>
      <c r="AM93" s="43">
        <f t="shared" si="70"/>
        <v>1</v>
      </c>
      <c r="AN93" s="43">
        <f t="shared" si="70"/>
        <v>1</v>
      </c>
      <c r="AO93" s="43">
        <f t="shared" si="70"/>
        <v>1</v>
      </c>
      <c r="AP93" s="43">
        <f t="shared" si="70"/>
        <v>1</v>
      </c>
      <c r="AQ93" s="43">
        <f t="shared" si="70"/>
        <v>1</v>
      </c>
      <c r="AR93" s="43">
        <f t="shared" si="70"/>
        <v>1</v>
      </c>
      <c r="AS93" s="43">
        <f t="shared" si="70"/>
        <v>1</v>
      </c>
      <c r="AT93" s="43">
        <f t="shared" si="70"/>
        <v>1</v>
      </c>
      <c r="AU93" s="43">
        <f t="shared" si="70"/>
        <v>1</v>
      </c>
      <c r="AV93" s="43">
        <f t="shared" si="71"/>
        <v>1</v>
      </c>
      <c r="AW93" s="43">
        <f t="shared" si="71"/>
        <v>1</v>
      </c>
      <c r="AX93" s="43">
        <f t="shared" si="71"/>
        <v>1</v>
      </c>
      <c r="AY93" s="43">
        <f t="shared" si="71"/>
        <v>1</v>
      </c>
      <c r="AZ93" s="43">
        <f t="shared" si="71"/>
        <v>1</v>
      </c>
      <c r="BA93" s="43">
        <f t="shared" si="71"/>
        <v>1</v>
      </c>
      <c r="BB93" s="43">
        <f t="shared" si="71"/>
        <v>1</v>
      </c>
      <c r="BC93" s="43">
        <f t="shared" si="71"/>
        <v>1</v>
      </c>
      <c r="BD93" s="43">
        <f t="shared" si="71"/>
        <v>1</v>
      </c>
      <c r="BE93" s="43">
        <f t="shared" si="71"/>
        <v>1</v>
      </c>
      <c r="BF93" s="43">
        <f t="shared" si="72"/>
        <v>1</v>
      </c>
      <c r="BG93" s="43">
        <f t="shared" si="72"/>
        <v>1</v>
      </c>
      <c r="BH93" s="43">
        <f t="shared" si="72"/>
        <v>1</v>
      </c>
      <c r="BI93" s="43">
        <f t="shared" si="72"/>
        <v>1</v>
      </c>
      <c r="BJ93" s="43">
        <f t="shared" si="72"/>
        <v>1</v>
      </c>
      <c r="BK93" s="43">
        <f t="shared" si="72"/>
        <v>1</v>
      </c>
      <c r="BL93" s="43">
        <f t="shared" si="72"/>
        <v>1</v>
      </c>
      <c r="BM93" s="43">
        <f t="shared" si="72"/>
        <v>1</v>
      </c>
      <c r="BN93" s="43">
        <f t="shared" si="72"/>
        <v>1</v>
      </c>
      <c r="BO93" s="43">
        <f t="shared" si="72"/>
        <v>1</v>
      </c>
      <c r="BP93" s="43">
        <f t="shared" si="73"/>
        <v>1</v>
      </c>
      <c r="BQ93" s="43">
        <f t="shared" si="73"/>
        <v>1</v>
      </c>
      <c r="BR93" s="43">
        <f t="shared" si="73"/>
        <v>0</v>
      </c>
      <c r="BS93" s="43">
        <f t="shared" si="73"/>
        <v>0</v>
      </c>
      <c r="BT93" s="43">
        <f t="shared" si="73"/>
        <v>0</v>
      </c>
      <c r="BU93" s="43">
        <f t="shared" si="73"/>
        <v>0</v>
      </c>
      <c r="BV93" s="43">
        <f t="shared" si="73"/>
        <v>0</v>
      </c>
      <c r="BW93" s="43">
        <f t="shared" si="73"/>
        <v>0</v>
      </c>
      <c r="BX93" s="43">
        <f t="shared" si="73"/>
        <v>0</v>
      </c>
      <c r="BY93" s="43">
        <f t="shared" si="73"/>
        <v>0</v>
      </c>
      <c r="BZ93" s="43">
        <f t="shared" si="73"/>
        <v>0</v>
      </c>
      <c r="CA93" s="43">
        <f t="shared" si="73"/>
        <v>0</v>
      </c>
    </row>
    <row r="94" spans="1:79" x14ac:dyDescent="0.25">
      <c r="A94" s="35">
        <v>77</v>
      </c>
      <c r="B94" s="8"/>
      <c r="C94" s="8"/>
      <c r="D94" s="8"/>
      <c r="E94" s="7"/>
      <c r="F94" s="49"/>
      <c r="G94" s="5"/>
      <c r="H94" s="10">
        <f t="shared" si="61"/>
        <v>0</v>
      </c>
      <c r="I94" s="49" t="e">
        <f>VLOOKUP(B94,База!$B$8:$I$52,3,FALSE)*60</f>
        <v>#N/A</v>
      </c>
      <c r="J94" s="35" t="e">
        <f>VLOOKUP(B94,База!$B$8:$I$52,7,FALSE)*I94</f>
        <v>#N/A</v>
      </c>
      <c r="K94" s="35" t="e">
        <f>VLOOKUP(B94,База!$B$8:$I$52,6,FALSE)</f>
        <v>#N/A</v>
      </c>
      <c r="L94" s="35" t="e">
        <f t="shared" si="59"/>
        <v>#N/A</v>
      </c>
      <c r="M94" s="9">
        <f t="shared" si="60"/>
        <v>0</v>
      </c>
      <c r="N94" s="53">
        <f t="shared" si="49"/>
        <v>612.23658315042314</v>
      </c>
      <c r="O94" s="53">
        <f t="shared" si="50"/>
        <v>612.23658315042314</v>
      </c>
      <c r="P94" s="53">
        <f t="shared" si="51"/>
        <v>0</v>
      </c>
      <c r="Q94" s="53">
        <f t="shared" si="52"/>
        <v>612.23658315042314</v>
      </c>
      <c r="R94" s="43">
        <f t="shared" si="68"/>
        <v>1</v>
      </c>
      <c r="S94" s="43">
        <f t="shared" si="68"/>
        <v>1</v>
      </c>
      <c r="T94" s="43">
        <f t="shared" si="68"/>
        <v>1</v>
      </c>
      <c r="U94" s="43">
        <f t="shared" si="68"/>
        <v>1</v>
      </c>
      <c r="V94" s="43">
        <f t="shared" si="68"/>
        <v>1</v>
      </c>
      <c r="W94" s="43">
        <f t="shared" si="68"/>
        <v>1</v>
      </c>
      <c r="X94" s="43">
        <f t="shared" si="68"/>
        <v>1</v>
      </c>
      <c r="Y94" s="43">
        <f t="shared" si="68"/>
        <v>1</v>
      </c>
      <c r="Z94" s="43">
        <f t="shared" si="68"/>
        <v>1</v>
      </c>
      <c r="AA94" s="43">
        <f t="shared" si="68"/>
        <v>1</v>
      </c>
      <c r="AB94" s="43">
        <f t="shared" si="69"/>
        <v>1</v>
      </c>
      <c r="AC94" s="43">
        <f t="shared" si="69"/>
        <v>1</v>
      </c>
      <c r="AD94" s="43">
        <f t="shared" si="69"/>
        <v>1</v>
      </c>
      <c r="AE94" s="43">
        <f t="shared" si="69"/>
        <v>1</v>
      </c>
      <c r="AF94" s="43">
        <f t="shared" si="69"/>
        <v>1</v>
      </c>
      <c r="AG94" s="43">
        <f t="shared" si="69"/>
        <v>1</v>
      </c>
      <c r="AH94" s="43">
        <f t="shared" si="69"/>
        <v>1</v>
      </c>
      <c r="AI94" s="43">
        <f t="shared" si="69"/>
        <v>1</v>
      </c>
      <c r="AJ94" s="43">
        <f t="shared" si="69"/>
        <v>1</v>
      </c>
      <c r="AK94" s="43">
        <f t="shared" si="69"/>
        <v>1</v>
      </c>
      <c r="AL94" s="43">
        <f t="shared" si="70"/>
        <v>1</v>
      </c>
      <c r="AM94" s="43">
        <f t="shared" si="70"/>
        <v>1</v>
      </c>
      <c r="AN94" s="43">
        <f t="shared" si="70"/>
        <v>1</v>
      </c>
      <c r="AO94" s="43">
        <f t="shared" si="70"/>
        <v>1</v>
      </c>
      <c r="AP94" s="43">
        <f t="shared" si="70"/>
        <v>1</v>
      </c>
      <c r="AQ94" s="43">
        <f t="shared" si="70"/>
        <v>1</v>
      </c>
      <c r="AR94" s="43">
        <f t="shared" si="70"/>
        <v>1</v>
      </c>
      <c r="AS94" s="43">
        <f t="shared" si="70"/>
        <v>1</v>
      </c>
      <c r="AT94" s="43">
        <f t="shared" si="70"/>
        <v>1</v>
      </c>
      <c r="AU94" s="43">
        <f t="shared" si="70"/>
        <v>1</v>
      </c>
      <c r="AV94" s="43">
        <f t="shared" si="71"/>
        <v>1</v>
      </c>
      <c r="AW94" s="43">
        <f t="shared" si="71"/>
        <v>1</v>
      </c>
      <c r="AX94" s="43">
        <f t="shared" si="71"/>
        <v>1</v>
      </c>
      <c r="AY94" s="43">
        <f t="shared" si="71"/>
        <v>1</v>
      </c>
      <c r="AZ94" s="43">
        <f t="shared" si="71"/>
        <v>1</v>
      </c>
      <c r="BA94" s="43">
        <f t="shared" si="71"/>
        <v>1</v>
      </c>
      <c r="BB94" s="43">
        <f t="shared" si="71"/>
        <v>1</v>
      </c>
      <c r="BC94" s="43">
        <f t="shared" si="71"/>
        <v>1</v>
      </c>
      <c r="BD94" s="43">
        <f t="shared" si="71"/>
        <v>1</v>
      </c>
      <c r="BE94" s="43">
        <f t="shared" si="71"/>
        <v>1</v>
      </c>
      <c r="BF94" s="43">
        <f t="shared" si="72"/>
        <v>1</v>
      </c>
      <c r="BG94" s="43">
        <f t="shared" si="72"/>
        <v>1</v>
      </c>
      <c r="BH94" s="43">
        <f t="shared" si="72"/>
        <v>1</v>
      </c>
      <c r="BI94" s="43">
        <f t="shared" si="72"/>
        <v>1</v>
      </c>
      <c r="BJ94" s="43">
        <f t="shared" si="72"/>
        <v>1</v>
      </c>
      <c r="BK94" s="43">
        <f t="shared" si="72"/>
        <v>1</v>
      </c>
      <c r="BL94" s="43">
        <f t="shared" si="72"/>
        <v>1</v>
      </c>
      <c r="BM94" s="43">
        <f t="shared" si="72"/>
        <v>1</v>
      </c>
      <c r="BN94" s="43">
        <f t="shared" si="72"/>
        <v>1</v>
      </c>
      <c r="BO94" s="43">
        <f t="shared" si="72"/>
        <v>1</v>
      </c>
      <c r="BP94" s="43">
        <f t="shared" si="73"/>
        <v>1</v>
      </c>
      <c r="BQ94" s="43">
        <f t="shared" si="73"/>
        <v>1</v>
      </c>
      <c r="BR94" s="43">
        <f t="shared" si="73"/>
        <v>0</v>
      </c>
      <c r="BS94" s="43">
        <f t="shared" si="73"/>
        <v>0</v>
      </c>
      <c r="BT94" s="43">
        <f t="shared" si="73"/>
        <v>0</v>
      </c>
      <c r="BU94" s="43">
        <f t="shared" si="73"/>
        <v>0</v>
      </c>
      <c r="BV94" s="43">
        <f t="shared" si="73"/>
        <v>0</v>
      </c>
      <c r="BW94" s="43">
        <f t="shared" si="73"/>
        <v>0</v>
      </c>
      <c r="BX94" s="43">
        <f t="shared" si="73"/>
        <v>0</v>
      </c>
      <c r="BY94" s="43">
        <f t="shared" si="73"/>
        <v>0</v>
      </c>
      <c r="BZ94" s="43">
        <f t="shared" si="73"/>
        <v>0</v>
      </c>
      <c r="CA94" s="43">
        <f t="shared" si="73"/>
        <v>0</v>
      </c>
    </row>
    <row r="95" spans="1:79" x14ac:dyDescent="0.25">
      <c r="A95" s="35">
        <v>78</v>
      </c>
      <c r="B95" s="8"/>
      <c r="C95" s="8"/>
      <c r="D95" s="8"/>
      <c r="E95" s="7"/>
      <c r="F95" s="49"/>
      <c r="G95" s="5"/>
      <c r="H95" s="10">
        <f t="shared" si="61"/>
        <v>0</v>
      </c>
      <c r="I95" s="49" t="e">
        <f>VLOOKUP(B95,База!$B$8:$I$52,3,FALSE)*60</f>
        <v>#N/A</v>
      </c>
      <c r="J95" s="35" t="e">
        <f>VLOOKUP(B95,База!$B$8:$I$52,7,FALSE)*I95</f>
        <v>#N/A</v>
      </c>
      <c r="K95" s="35" t="e">
        <f>VLOOKUP(B95,База!$B$8:$I$52,6,FALSE)</f>
        <v>#N/A</v>
      </c>
      <c r="L95" s="35" t="e">
        <f t="shared" si="59"/>
        <v>#N/A</v>
      </c>
      <c r="M95" s="9">
        <f t="shared" si="60"/>
        <v>0</v>
      </c>
      <c r="N95" s="53">
        <f t="shared" si="49"/>
        <v>612.23658315042314</v>
      </c>
      <c r="O95" s="53">
        <f t="shared" si="50"/>
        <v>612.23658315042314</v>
      </c>
      <c r="P95" s="53">
        <f t="shared" si="51"/>
        <v>0</v>
      </c>
      <c r="Q95" s="53">
        <f t="shared" si="52"/>
        <v>612.23658315042314</v>
      </c>
      <c r="R95" s="43">
        <f t="shared" si="68"/>
        <v>1</v>
      </c>
      <c r="S95" s="43">
        <f t="shared" si="68"/>
        <v>1</v>
      </c>
      <c r="T95" s="43">
        <f t="shared" si="68"/>
        <v>1</v>
      </c>
      <c r="U95" s="43">
        <f t="shared" si="68"/>
        <v>1</v>
      </c>
      <c r="V95" s="43">
        <f t="shared" si="68"/>
        <v>1</v>
      </c>
      <c r="W95" s="43">
        <f t="shared" si="68"/>
        <v>1</v>
      </c>
      <c r="X95" s="43">
        <f t="shared" si="68"/>
        <v>1</v>
      </c>
      <c r="Y95" s="43">
        <f t="shared" si="68"/>
        <v>1</v>
      </c>
      <c r="Z95" s="43">
        <f t="shared" si="68"/>
        <v>1</v>
      </c>
      <c r="AA95" s="43">
        <f t="shared" si="68"/>
        <v>1</v>
      </c>
      <c r="AB95" s="43">
        <f t="shared" si="69"/>
        <v>1</v>
      </c>
      <c r="AC95" s="43">
        <f t="shared" si="69"/>
        <v>1</v>
      </c>
      <c r="AD95" s="43">
        <f t="shared" si="69"/>
        <v>1</v>
      </c>
      <c r="AE95" s="43">
        <f t="shared" si="69"/>
        <v>1</v>
      </c>
      <c r="AF95" s="43">
        <f t="shared" si="69"/>
        <v>1</v>
      </c>
      <c r="AG95" s="43">
        <f t="shared" si="69"/>
        <v>1</v>
      </c>
      <c r="AH95" s="43">
        <f t="shared" si="69"/>
        <v>1</v>
      </c>
      <c r="AI95" s="43">
        <f t="shared" si="69"/>
        <v>1</v>
      </c>
      <c r="AJ95" s="43">
        <f t="shared" si="69"/>
        <v>1</v>
      </c>
      <c r="AK95" s="43">
        <f t="shared" si="69"/>
        <v>1</v>
      </c>
      <c r="AL95" s="43">
        <f t="shared" si="70"/>
        <v>1</v>
      </c>
      <c r="AM95" s="43">
        <f t="shared" si="70"/>
        <v>1</v>
      </c>
      <c r="AN95" s="43">
        <f t="shared" si="70"/>
        <v>1</v>
      </c>
      <c r="AO95" s="43">
        <f t="shared" si="70"/>
        <v>1</v>
      </c>
      <c r="AP95" s="43">
        <f t="shared" si="70"/>
        <v>1</v>
      </c>
      <c r="AQ95" s="43">
        <f t="shared" si="70"/>
        <v>1</v>
      </c>
      <c r="AR95" s="43">
        <f t="shared" si="70"/>
        <v>1</v>
      </c>
      <c r="AS95" s="43">
        <f t="shared" si="70"/>
        <v>1</v>
      </c>
      <c r="AT95" s="43">
        <f t="shared" si="70"/>
        <v>1</v>
      </c>
      <c r="AU95" s="43">
        <f t="shared" si="70"/>
        <v>1</v>
      </c>
      <c r="AV95" s="43">
        <f t="shared" si="71"/>
        <v>1</v>
      </c>
      <c r="AW95" s="43">
        <f t="shared" si="71"/>
        <v>1</v>
      </c>
      <c r="AX95" s="43">
        <f t="shared" si="71"/>
        <v>1</v>
      </c>
      <c r="AY95" s="43">
        <f t="shared" si="71"/>
        <v>1</v>
      </c>
      <c r="AZ95" s="43">
        <f t="shared" si="71"/>
        <v>1</v>
      </c>
      <c r="BA95" s="43">
        <f t="shared" si="71"/>
        <v>1</v>
      </c>
      <c r="BB95" s="43">
        <f t="shared" si="71"/>
        <v>1</v>
      </c>
      <c r="BC95" s="43">
        <f t="shared" si="71"/>
        <v>1</v>
      </c>
      <c r="BD95" s="43">
        <f t="shared" si="71"/>
        <v>1</v>
      </c>
      <c r="BE95" s="43">
        <f t="shared" si="71"/>
        <v>1</v>
      </c>
      <c r="BF95" s="43">
        <f t="shared" si="72"/>
        <v>1</v>
      </c>
      <c r="BG95" s="43">
        <f t="shared" si="72"/>
        <v>1</v>
      </c>
      <c r="BH95" s="43">
        <f t="shared" si="72"/>
        <v>1</v>
      </c>
      <c r="BI95" s="43">
        <f t="shared" si="72"/>
        <v>1</v>
      </c>
      <c r="BJ95" s="43">
        <f t="shared" si="72"/>
        <v>1</v>
      </c>
      <c r="BK95" s="43">
        <f t="shared" si="72"/>
        <v>1</v>
      </c>
      <c r="BL95" s="43">
        <f t="shared" si="72"/>
        <v>1</v>
      </c>
      <c r="BM95" s="43">
        <f t="shared" si="72"/>
        <v>1</v>
      </c>
      <c r="BN95" s="43">
        <f t="shared" si="72"/>
        <v>1</v>
      </c>
      <c r="BO95" s="43">
        <f t="shared" si="72"/>
        <v>1</v>
      </c>
      <c r="BP95" s="43">
        <f t="shared" si="73"/>
        <v>1</v>
      </c>
      <c r="BQ95" s="43">
        <f t="shared" si="73"/>
        <v>1</v>
      </c>
      <c r="BR95" s="43">
        <f t="shared" si="73"/>
        <v>0</v>
      </c>
      <c r="BS95" s="43">
        <f t="shared" si="73"/>
        <v>0</v>
      </c>
      <c r="BT95" s="43">
        <f t="shared" si="73"/>
        <v>0</v>
      </c>
      <c r="BU95" s="43">
        <f t="shared" si="73"/>
        <v>0</v>
      </c>
      <c r="BV95" s="43">
        <f t="shared" si="73"/>
        <v>0</v>
      </c>
      <c r="BW95" s="43">
        <f t="shared" si="73"/>
        <v>0</v>
      </c>
      <c r="BX95" s="43">
        <f t="shared" si="73"/>
        <v>0</v>
      </c>
      <c r="BY95" s="43">
        <f t="shared" si="73"/>
        <v>0</v>
      </c>
      <c r="BZ95" s="43">
        <f t="shared" si="73"/>
        <v>0</v>
      </c>
      <c r="CA95" s="43">
        <f t="shared" si="73"/>
        <v>0</v>
      </c>
    </row>
    <row r="96" spans="1:79" x14ac:dyDescent="0.25">
      <c r="A96" s="35">
        <v>79</v>
      </c>
      <c r="B96" s="8"/>
      <c r="C96" s="8"/>
      <c r="D96" s="8"/>
      <c r="E96" s="7"/>
      <c r="F96" s="49"/>
      <c r="G96" s="5"/>
      <c r="H96" s="10">
        <f t="shared" si="61"/>
        <v>0</v>
      </c>
      <c r="I96" s="49" t="e">
        <f>VLOOKUP(B96,База!$B$8:$I$52,3,FALSE)*60</f>
        <v>#N/A</v>
      </c>
      <c r="J96" s="35" t="e">
        <f>VLOOKUP(B96,База!$B$8:$I$52,7,FALSE)*I96</f>
        <v>#N/A</v>
      </c>
      <c r="K96" s="35" t="e">
        <f>VLOOKUP(B96,База!$B$8:$I$52,6,FALSE)</f>
        <v>#N/A</v>
      </c>
      <c r="L96" s="35" t="e">
        <f t="shared" si="59"/>
        <v>#N/A</v>
      </c>
      <c r="M96" s="9">
        <f t="shared" si="60"/>
        <v>0</v>
      </c>
      <c r="N96" s="53">
        <f t="shared" si="49"/>
        <v>612.23658315042314</v>
      </c>
      <c r="O96" s="53">
        <f t="shared" si="50"/>
        <v>612.23658315042314</v>
      </c>
      <c r="P96" s="53">
        <f t="shared" si="51"/>
        <v>0</v>
      </c>
      <c r="Q96" s="53">
        <f t="shared" si="52"/>
        <v>612.23658315042314</v>
      </c>
      <c r="R96" s="43">
        <f t="shared" si="68"/>
        <v>1</v>
      </c>
      <c r="S96" s="43">
        <f t="shared" si="68"/>
        <v>1</v>
      </c>
      <c r="T96" s="43">
        <f t="shared" si="68"/>
        <v>1</v>
      </c>
      <c r="U96" s="43">
        <f t="shared" si="68"/>
        <v>1</v>
      </c>
      <c r="V96" s="43">
        <f t="shared" si="68"/>
        <v>1</v>
      </c>
      <c r="W96" s="43">
        <f t="shared" si="68"/>
        <v>1</v>
      </c>
      <c r="X96" s="43">
        <f t="shared" si="68"/>
        <v>1</v>
      </c>
      <c r="Y96" s="43">
        <f t="shared" si="68"/>
        <v>1</v>
      </c>
      <c r="Z96" s="43">
        <f t="shared" si="68"/>
        <v>1</v>
      </c>
      <c r="AA96" s="43">
        <f t="shared" si="68"/>
        <v>1</v>
      </c>
      <c r="AB96" s="43">
        <f t="shared" si="69"/>
        <v>1</v>
      </c>
      <c r="AC96" s="43">
        <f t="shared" si="69"/>
        <v>1</v>
      </c>
      <c r="AD96" s="43">
        <f t="shared" si="69"/>
        <v>1</v>
      </c>
      <c r="AE96" s="43">
        <f t="shared" si="69"/>
        <v>1</v>
      </c>
      <c r="AF96" s="43">
        <f t="shared" si="69"/>
        <v>1</v>
      </c>
      <c r="AG96" s="43">
        <f t="shared" si="69"/>
        <v>1</v>
      </c>
      <c r="AH96" s="43">
        <f t="shared" si="69"/>
        <v>1</v>
      </c>
      <c r="AI96" s="43">
        <f t="shared" si="69"/>
        <v>1</v>
      </c>
      <c r="AJ96" s="43">
        <f t="shared" si="69"/>
        <v>1</v>
      </c>
      <c r="AK96" s="43">
        <f t="shared" si="69"/>
        <v>1</v>
      </c>
      <c r="AL96" s="43">
        <f t="shared" si="70"/>
        <v>1</v>
      </c>
      <c r="AM96" s="43">
        <f t="shared" si="70"/>
        <v>1</v>
      </c>
      <c r="AN96" s="43">
        <f t="shared" si="70"/>
        <v>1</v>
      </c>
      <c r="AO96" s="43">
        <f t="shared" si="70"/>
        <v>1</v>
      </c>
      <c r="AP96" s="43">
        <f t="shared" si="70"/>
        <v>1</v>
      </c>
      <c r="AQ96" s="43">
        <f t="shared" si="70"/>
        <v>1</v>
      </c>
      <c r="AR96" s="43">
        <f t="shared" si="70"/>
        <v>1</v>
      </c>
      <c r="AS96" s="43">
        <f t="shared" si="70"/>
        <v>1</v>
      </c>
      <c r="AT96" s="43">
        <f t="shared" si="70"/>
        <v>1</v>
      </c>
      <c r="AU96" s="43">
        <f t="shared" si="70"/>
        <v>1</v>
      </c>
      <c r="AV96" s="43">
        <f t="shared" si="71"/>
        <v>1</v>
      </c>
      <c r="AW96" s="43">
        <f t="shared" si="71"/>
        <v>1</v>
      </c>
      <c r="AX96" s="43">
        <f t="shared" si="71"/>
        <v>1</v>
      </c>
      <c r="AY96" s="43">
        <f t="shared" si="71"/>
        <v>1</v>
      </c>
      <c r="AZ96" s="43">
        <f t="shared" si="71"/>
        <v>1</v>
      </c>
      <c r="BA96" s="43">
        <f t="shared" si="71"/>
        <v>1</v>
      </c>
      <c r="BB96" s="43">
        <f t="shared" si="71"/>
        <v>1</v>
      </c>
      <c r="BC96" s="43">
        <f t="shared" si="71"/>
        <v>1</v>
      </c>
      <c r="BD96" s="43">
        <f t="shared" si="71"/>
        <v>1</v>
      </c>
      <c r="BE96" s="43">
        <f t="shared" si="71"/>
        <v>1</v>
      </c>
      <c r="BF96" s="43">
        <f t="shared" si="72"/>
        <v>1</v>
      </c>
      <c r="BG96" s="43">
        <f t="shared" si="72"/>
        <v>1</v>
      </c>
      <c r="BH96" s="43">
        <f t="shared" si="72"/>
        <v>1</v>
      </c>
      <c r="BI96" s="43">
        <f t="shared" si="72"/>
        <v>1</v>
      </c>
      <c r="BJ96" s="43">
        <f t="shared" si="72"/>
        <v>1</v>
      </c>
      <c r="BK96" s="43">
        <f t="shared" si="72"/>
        <v>1</v>
      </c>
      <c r="BL96" s="43">
        <f t="shared" si="72"/>
        <v>1</v>
      </c>
      <c r="BM96" s="43">
        <f t="shared" si="72"/>
        <v>1</v>
      </c>
      <c r="BN96" s="43">
        <f t="shared" si="72"/>
        <v>1</v>
      </c>
      <c r="BO96" s="43">
        <f t="shared" si="72"/>
        <v>1</v>
      </c>
      <c r="BP96" s="43">
        <f t="shared" si="73"/>
        <v>1</v>
      </c>
      <c r="BQ96" s="43">
        <f t="shared" si="73"/>
        <v>1</v>
      </c>
      <c r="BR96" s="43">
        <f t="shared" si="73"/>
        <v>0</v>
      </c>
      <c r="BS96" s="43">
        <f t="shared" si="73"/>
        <v>0</v>
      </c>
      <c r="BT96" s="43">
        <f t="shared" si="73"/>
        <v>0</v>
      </c>
      <c r="BU96" s="43">
        <f t="shared" si="73"/>
        <v>0</v>
      </c>
      <c r="BV96" s="43">
        <f t="shared" si="73"/>
        <v>0</v>
      </c>
      <c r="BW96" s="43">
        <f t="shared" si="73"/>
        <v>0</v>
      </c>
      <c r="BX96" s="43">
        <f t="shared" si="73"/>
        <v>0</v>
      </c>
      <c r="BY96" s="43">
        <f t="shared" si="73"/>
        <v>0</v>
      </c>
      <c r="BZ96" s="43">
        <f t="shared" si="73"/>
        <v>0</v>
      </c>
      <c r="CA96" s="43">
        <f t="shared" si="73"/>
        <v>0</v>
      </c>
    </row>
    <row r="97" spans="1:79" x14ac:dyDescent="0.25">
      <c r="A97" s="35">
        <v>80</v>
      </c>
      <c r="B97" s="8"/>
      <c r="C97" s="8"/>
      <c r="D97" s="8"/>
      <c r="E97" s="7"/>
      <c r="F97" s="49"/>
      <c r="G97" s="5"/>
      <c r="H97" s="10">
        <f t="shared" si="61"/>
        <v>0</v>
      </c>
      <c r="I97" s="49" t="e">
        <f>VLOOKUP(B97,База!$B$8:$I$52,3,FALSE)*60</f>
        <v>#N/A</v>
      </c>
      <c r="J97" s="35" t="e">
        <f>VLOOKUP(B97,База!$B$8:$I$52,7,FALSE)*I97</f>
        <v>#N/A</v>
      </c>
      <c r="K97" s="35" t="e">
        <f>VLOOKUP(B97,База!$B$8:$I$52,6,FALSE)</f>
        <v>#N/A</v>
      </c>
      <c r="L97" s="35" t="e">
        <f t="shared" si="59"/>
        <v>#N/A</v>
      </c>
      <c r="M97" s="9">
        <f t="shared" si="60"/>
        <v>0</v>
      </c>
      <c r="N97" s="53">
        <f t="shared" ref="N97:N128" si="74">Q96</f>
        <v>612.23658315042314</v>
      </c>
      <c r="O97" s="53">
        <f t="shared" ref="O97:O128" si="75">N97+M97</f>
        <v>612.23658315042314</v>
      </c>
      <c r="P97" s="53">
        <f t="shared" ref="P97:P128" si="76">O97-N97</f>
        <v>0</v>
      </c>
      <c r="Q97" s="53">
        <f t="shared" ref="Q97:Q128" si="77">Q96+P97</f>
        <v>612.23658315042314</v>
      </c>
      <c r="R97" s="43">
        <f t="shared" si="68"/>
        <v>1</v>
      </c>
      <c r="S97" s="43">
        <f t="shared" si="68"/>
        <v>1</v>
      </c>
      <c r="T97" s="43">
        <f t="shared" si="68"/>
        <v>1</v>
      </c>
      <c r="U97" s="43">
        <f t="shared" si="68"/>
        <v>1</v>
      </c>
      <c r="V97" s="43">
        <f t="shared" si="68"/>
        <v>1</v>
      </c>
      <c r="W97" s="43">
        <f t="shared" si="68"/>
        <v>1</v>
      </c>
      <c r="X97" s="43">
        <f t="shared" si="68"/>
        <v>1</v>
      </c>
      <c r="Y97" s="43">
        <f t="shared" si="68"/>
        <v>1</v>
      </c>
      <c r="Z97" s="43">
        <f t="shared" si="68"/>
        <v>1</v>
      </c>
      <c r="AA97" s="43">
        <f t="shared" si="68"/>
        <v>1</v>
      </c>
      <c r="AB97" s="43">
        <f t="shared" si="69"/>
        <v>1</v>
      </c>
      <c r="AC97" s="43">
        <f t="shared" si="69"/>
        <v>1</v>
      </c>
      <c r="AD97" s="43">
        <f t="shared" si="69"/>
        <v>1</v>
      </c>
      <c r="AE97" s="43">
        <f t="shared" si="69"/>
        <v>1</v>
      </c>
      <c r="AF97" s="43">
        <f t="shared" si="69"/>
        <v>1</v>
      </c>
      <c r="AG97" s="43">
        <f t="shared" si="69"/>
        <v>1</v>
      </c>
      <c r="AH97" s="43">
        <f t="shared" si="69"/>
        <v>1</v>
      </c>
      <c r="AI97" s="43">
        <f t="shared" si="69"/>
        <v>1</v>
      </c>
      <c r="AJ97" s="43">
        <f t="shared" si="69"/>
        <v>1</v>
      </c>
      <c r="AK97" s="43">
        <f t="shared" si="69"/>
        <v>1</v>
      </c>
      <c r="AL97" s="43">
        <f t="shared" si="70"/>
        <v>1</v>
      </c>
      <c r="AM97" s="43">
        <f t="shared" si="70"/>
        <v>1</v>
      </c>
      <c r="AN97" s="43">
        <f t="shared" si="70"/>
        <v>1</v>
      </c>
      <c r="AO97" s="43">
        <f t="shared" si="70"/>
        <v>1</v>
      </c>
      <c r="AP97" s="43">
        <f t="shared" si="70"/>
        <v>1</v>
      </c>
      <c r="AQ97" s="43">
        <f t="shared" si="70"/>
        <v>1</v>
      </c>
      <c r="AR97" s="43">
        <f t="shared" si="70"/>
        <v>1</v>
      </c>
      <c r="AS97" s="43">
        <f t="shared" si="70"/>
        <v>1</v>
      </c>
      <c r="AT97" s="43">
        <f t="shared" si="70"/>
        <v>1</v>
      </c>
      <c r="AU97" s="43">
        <f t="shared" si="70"/>
        <v>1</v>
      </c>
      <c r="AV97" s="43">
        <f t="shared" si="71"/>
        <v>1</v>
      </c>
      <c r="AW97" s="43">
        <f t="shared" si="71"/>
        <v>1</v>
      </c>
      <c r="AX97" s="43">
        <f t="shared" si="71"/>
        <v>1</v>
      </c>
      <c r="AY97" s="43">
        <f t="shared" si="71"/>
        <v>1</v>
      </c>
      <c r="AZ97" s="43">
        <f t="shared" si="71"/>
        <v>1</v>
      </c>
      <c r="BA97" s="43">
        <f t="shared" si="71"/>
        <v>1</v>
      </c>
      <c r="BB97" s="43">
        <f t="shared" si="71"/>
        <v>1</v>
      </c>
      <c r="BC97" s="43">
        <f t="shared" si="71"/>
        <v>1</v>
      </c>
      <c r="BD97" s="43">
        <f t="shared" si="71"/>
        <v>1</v>
      </c>
      <c r="BE97" s="43">
        <f t="shared" si="71"/>
        <v>1</v>
      </c>
      <c r="BF97" s="43">
        <f t="shared" si="72"/>
        <v>1</v>
      </c>
      <c r="BG97" s="43">
        <f t="shared" si="72"/>
        <v>1</v>
      </c>
      <c r="BH97" s="43">
        <f t="shared" si="72"/>
        <v>1</v>
      </c>
      <c r="BI97" s="43">
        <f t="shared" si="72"/>
        <v>1</v>
      </c>
      <c r="BJ97" s="43">
        <f t="shared" si="72"/>
        <v>1</v>
      </c>
      <c r="BK97" s="43">
        <f t="shared" si="72"/>
        <v>1</v>
      </c>
      <c r="BL97" s="43">
        <f t="shared" si="72"/>
        <v>1</v>
      </c>
      <c r="BM97" s="43">
        <f t="shared" si="72"/>
        <v>1</v>
      </c>
      <c r="BN97" s="43">
        <f t="shared" si="72"/>
        <v>1</v>
      </c>
      <c r="BO97" s="43">
        <f t="shared" si="72"/>
        <v>1</v>
      </c>
      <c r="BP97" s="43">
        <f t="shared" si="73"/>
        <v>1</v>
      </c>
      <c r="BQ97" s="43">
        <f t="shared" si="73"/>
        <v>1</v>
      </c>
      <c r="BR97" s="43">
        <f t="shared" si="73"/>
        <v>0</v>
      </c>
      <c r="BS97" s="43">
        <f t="shared" si="73"/>
        <v>0</v>
      </c>
      <c r="BT97" s="43">
        <f t="shared" si="73"/>
        <v>0</v>
      </c>
      <c r="BU97" s="43">
        <f t="shared" si="73"/>
        <v>0</v>
      </c>
      <c r="BV97" s="43">
        <f t="shared" si="73"/>
        <v>0</v>
      </c>
      <c r="BW97" s="43">
        <f t="shared" si="73"/>
        <v>0</v>
      </c>
      <c r="BX97" s="43">
        <f t="shared" si="73"/>
        <v>0</v>
      </c>
      <c r="BY97" s="43">
        <f t="shared" si="73"/>
        <v>0</v>
      </c>
      <c r="BZ97" s="43">
        <f t="shared" si="73"/>
        <v>0</v>
      </c>
      <c r="CA97" s="43">
        <f t="shared" si="73"/>
        <v>0</v>
      </c>
    </row>
    <row r="98" spans="1:79" x14ac:dyDescent="0.25">
      <c r="A98" s="35">
        <v>81</v>
      </c>
      <c r="B98" s="8"/>
      <c r="C98" s="8"/>
      <c r="D98" s="8"/>
      <c r="E98" s="7"/>
      <c r="F98" s="49"/>
      <c r="G98" s="5"/>
      <c r="H98" s="10">
        <f t="shared" si="61"/>
        <v>0</v>
      </c>
      <c r="I98" s="49" t="e">
        <f>VLOOKUP(B98,База!$B$8:$I$52,3,FALSE)*60</f>
        <v>#N/A</v>
      </c>
      <c r="J98" s="35" t="e">
        <f>VLOOKUP(B98,База!$B$8:$I$52,7,FALSE)*I98</f>
        <v>#N/A</v>
      </c>
      <c r="K98" s="35" t="e">
        <f>VLOOKUP(B98,База!$B$8:$I$52,6,FALSE)</f>
        <v>#N/A</v>
      </c>
      <c r="L98" s="35" t="e">
        <f t="shared" si="59"/>
        <v>#N/A</v>
      </c>
      <c r="M98" s="9">
        <f t="shared" si="60"/>
        <v>0</v>
      </c>
      <c r="N98" s="53">
        <f t="shared" si="74"/>
        <v>612.23658315042314</v>
      </c>
      <c r="O98" s="53">
        <f t="shared" si="75"/>
        <v>612.23658315042314</v>
      </c>
      <c r="P98" s="53">
        <f t="shared" si="76"/>
        <v>0</v>
      </c>
      <c r="Q98" s="53">
        <f t="shared" si="77"/>
        <v>612.23658315042314</v>
      </c>
      <c r="R98" s="43">
        <f t="shared" si="68"/>
        <v>1</v>
      </c>
      <c r="S98" s="43">
        <f t="shared" si="68"/>
        <v>1</v>
      </c>
      <c r="T98" s="43">
        <f t="shared" si="68"/>
        <v>1</v>
      </c>
      <c r="U98" s="43">
        <f t="shared" si="68"/>
        <v>1</v>
      </c>
      <c r="V98" s="43">
        <f t="shared" si="68"/>
        <v>1</v>
      </c>
      <c r="W98" s="43">
        <f t="shared" si="68"/>
        <v>1</v>
      </c>
      <c r="X98" s="43">
        <f t="shared" si="68"/>
        <v>1</v>
      </c>
      <c r="Y98" s="43">
        <f t="shared" si="68"/>
        <v>1</v>
      </c>
      <c r="Z98" s="43">
        <f t="shared" si="68"/>
        <v>1</v>
      </c>
      <c r="AA98" s="43">
        <f t="shared" si="68"/>
        <v>1</v>
      </c>
      <c r="AB98" s="43">
        <f t="shared" si="69"/>
        <v>1</v>
      </c>
      <c r="AC98" s="43">
        <f t="shared" si="69"/>
        <v>1</v>
      </c>
      <c r="AD98" s="43">
        <f t="shared" si="69"/>
        <v>1</v>
      </c>
      <c r="AE98" s="43">
        <f t="shared" si="69"/>
        <v>1</v>
      </c>
      <c r="AF98" s="43">
        <f t="shared" si="69"/>
        <v>1</v>
      </c>
      <c r="AG98" s="43">
        <f t="shared" si="69"/>
        <v>1</v>
      </c>
      <c r="AH98" s="43">
        <f t="shared" si="69"/>
        <v>1</v>
      </c>
      <c r="AI98" s="43">
        <f t="shared" si="69"/>
        <v>1</v>
      </c>
      <c r="AJ98" s="43">
        <f t="shared" si="69"/>
        <v>1</v>
      </c>
      <c r="AK98" s="43">
        <f t="shared" si="69"/>
        <v>1</v>
      </c>
      <c r="AL98" s="43">
        <f t="shared" si="70"/>
        <v>1</v>
      </c>
      <c r="AM98" s="43">
        <f t="shared" si="70"/>
        <v>1</v>
      </c>
      <c r="AN98" s="43">
        <f t="shared" si="70"/>
        <v>1</v>
      </c>
      <c r="AO98" s="43">
        <f t="shared" si="70"/>
        <v>1</v>
      </c>
      <c r="AP98" s="43">
        <f t="shared" si="70"/>
        <v>1</v>
      </c>
      <c r="AQ98" s="43">
        <f t="shared" si="70"/>
        <v>1</v>
      </c>
      <c r="AR98" s="43">
        <f t="shared" si="70"/>
        <v>1</v>
      </c>
      <c r="AS98" s="43">
        <f t="shared" si="70"/>
        <v>1</v>
      </c>
      <c r="AT98" s="43">
        <f t="shared" si="70"/>
        <v>1</v>
      </c>
      <c r="AU98" s="43">
        <f t="shared" si="70"/>
        <v>1</v>
      </c>
      <c r="AV98" s="43">
        <f t="shared" si="71"/>
        <v>1</v>
      </c>
      <c r="AW98" s="43">
        <f t="shared" si="71"/>
        <v>1</v>
      </c>
      <c r="AX98" s="43">
        <f t="shared" si="71"/>
        <v>1</v>
      </c>
      <c r="AY98" s="43">
        <f t="shared" si="71"/>
        <v>1</v>
      </c>
      <c r="AZ98" s="43">
        <f t="shared" si="71"/>
        <v>1</v>
      </c>
      <c r="BA98" s="43">
        <f t="shared" si="71"/>
        <v>1</v>
      </c>
      <c r="BB98" s="43">
        <f t="shared" si="71"/>
        <v>1</v>
      </c>
      <c r="BC98" s="43">
        <f t="shared" si="71"/>
        <v>1</v>
      </c>
      <c r="BD98" s="43">
        <f t="shared" si="71"/>
        <v>1</v>
      </c>
      <c r="BE98" s="43">
        <f t="shared" si="71"/>
        <v>1</v>
      </c>
      <c r="BF98" s="43">
        <f t="shared" si="72"/>
        <v>1</v>
      </c>
      <c r="BG98" s="43">
        <f t="shared" si="72"/>
        <v>1</v>
      </c>
      <c r="BH98" s="43">
        <f t="shared" si="72"/>
        <v>1</v>
      </c>
      <c r="BI98" s="43">
        <f t="shared" si="72"/>
        <v>1</v>
      </c>
      <c r="BJ98" s="43">
        <f t="shared" si="72"/>
        <v>1</v>
      </c>
      <c r="BK98" s="43">
        <f t="shared" si="72"/>
        <v>1</v>
      </c>
      <c r="BL98" s="43">
        <f t="shared" si="72"/>
        <v>1</v>
      </c>
      <c r="BM98" s="43">
        <f t="shared" si="72"/>
        <v>1</v>
      </c>
      <c r="BN98" s="43">
        <f t="shared" si="72"/>
        <v>1</v>
      </c>
      <c r="BO98" s="43">
        <f t="shared" si="72"/>
        <v>1</v>
      </c>
      <c r="BP98" s="43">
        <f t="shared" si="73"/>
        <v>1</v>
      </c>
      <c r="BQ98" s="43">
        <f t="shared" si="73"/>
        <v>1</v>
      </c>
      <c r="BR98" s="43">
        <f t="shared" si="73"/>
        <v>0</v>
      </c>
      <c r="BS98" s="43">
        <f t="shared" si="73"/>
        <v>0</v>
      </c>
      <c r="BT98" s="43">
        <f t="shared" si="73"/>
        <v>0</v>
      </c>
      <c r="BU98" s="43">
        <f t="shared" si="73"/>
        <v>0</v>
      </c>
      <c r="BV98" s="43">
        <f t="shared" si="73"/>
        <v>0</v>
      </c>
      <c r="BW98" s="43">
        <f t="shared" si="73"/>
        <v>0</v>
      </c>
      <c r="BX98" s="43">
        <f t="shared" si="73"/>
        <v>0</v>
      </c>
      <c r="BY98" s="43">
        <f t="shared" si="73"/>
        <v>0</v>
      </c>
      <c r="BZ98" s="43">
        <f t="shared" si="73"/>
        <v>0</v>
      </c>
      <c r="CA98" s="43">
        <f t="shared" si="73"/>
        <v>0</v>
      </c>
    </row>
    <row r="99" spans="1:79" x14ac:dyDescent="0.25">
      <c r="A99" s="35">
        <v>82</v>
      </c>
      <c r="B99" s="8"/>
      <c r="C99" s="8"/>
      <c r="D99" s="8"/>
      <c r="E99" s="7"/>
      <c r="F99" s="49"/>
      <c r="G99" s="5"/>
      <c r="H99" s="10">
        <f t="shared" si="61"/>
        <v>0</v>
      </c>
      <c r="I99" s="49" t="e">
        <f>VLOOKUP(B99,База!$B$8:$I$52,3,FALSE)*60</f>
        <v>#N/A</v>
      </c>
      <c r="J99" s="35" t="e">
        <f>VLOOKUP(B99,База!$B$8:$I$52,7,FALSE)*I99</f>
        <v>#N/A</v>
      </c>
      <c r="K99" s="35" t="e">
        <f>VLOOKUP(B99,База!$B$8:$I$52,6,FALSE)</f>
        <v>#N/A</v>
      </c>
      <c r="L99" s="35" t="e">
        <f t="shared" si="59"/>
        <v>#N/A</v>
      </c>
      <c r="M99" s="9">
        <f t="shared" si="60"/>
        <v>0</v>
      </c>
      <c r="N99" s="53">
        <f t="shared" si="74"/>
        <v>612.23658315042314</v>
      </c>
      <c r="O99" s="53">
        <f t="shared" si="75"/>
        <v>612.23658315042314</v>
      </c>
      <c r="P99" s="53">
        <f t="shared" si="76"/>
        <v>0</v>
      </c>
      <c r="Q99" s="53">
        <f t="shared" si="77"/>
        <v>612.23658315042314</v>
      </c>
      <c r="R99" s="43">
        <f t="shared" si="68"/>
        <v>1</v>
      </c>
      <c r="S99" s="43">
        <f t="shared" si="68"/>
        <v>1</v>
      </c>
      <c r="T99" s="43">
        <f t="shared" si="68"/>
        <v>1</v>
      </c>
      <c r="U99" s="43">
        <f t="shared" si="68"/>
        <v>1</v>
      </c>
      <c r="V99" s="43">
        <f t="shared" si="68"/>
        <v>1</v>
      </c>
      <c r="W99" s="43">
        <f t="shared" si="68"/>
        <v>1</v>
      </c>
      <c r="X99" s="43">
        <f t="shared" si="68"/>
        <v>1</v>
      </c>
      <c r="Y99" s="43">
        <f t="shared" si="68"/>
        <v>1</v>
      </c>
      <c r="Z99" s="43">
        <f t="shared" si="68"/>
        <v>1</v>
      </c>
      <c r="AA99" s="43">
        <f t="shared" si="68"/>
        <v>1</v>
      </c>
      <c r="AB99" s="43">
        <f t="shared" si="69"/>
        <v>1</v>
      </c>
      <c r="AC99" s="43">
        <f t="shared" si="69"/>
        <v>1</v>
      </c>
      <c r="AD99" s="43">
        <f t="shared" si="69"/>
        <v>1</v>
      </c>
      <c r="AE99" s="43">
        <f t="shared" si="69"/>
        <v>1</v>
      </c>
      <c r="AF99" s="43">
        <f t="shared" si="69"/>
        <v>1</v>
      </c>
      <c r="AG99" s="43">
        <f t="shared" si="69"/>
        <v>1</v>
      </c>
      <c r="AH99" s="43">
        <f t="shared" si="69"/>
        <v>1</v>
      </c>
      <c r="AI99" s="43">
        <f t="shared" si="69"/>
        <v>1</v>
      </c>
      <c r="AJ99" s="43">
        <f t="shared" si="69"/>
        <v>1</v>
      </c>
      <c r="AK99" s="43">
        <f t="shared" si="69"/>
        <v>1</v>
      </c>
      <c r="AL99" s="43">
        <f t="shared" si="70"/>
        <v>1</v>
      </c>
      <c r="AM99" s="43">
        <f t="shared" si="70"/>
        <v>1</v>
      </c>
      <c r="AN99" s="43">
        <f t="shared" si="70"/>
        <v>1</v>
      </c>
      <c r="AO99" s="43">
        <f t="shared" si="70"/>
        <v>1</v>
      </c>
      <c r="AP99" s="43">
        <f t="shared" si="70"/>
        <v>1</v>
      </c>
      <c r="AQ99" s="43">
        <f t="shared" si="70"/>
        <v>1</v>
      </c>
      <c r="AR99" s="43">
        <f t="shared" si="70"/>
        <v>1</v>
      </c>
      <c r="AS99" s="43">
        <f t="shared" si="70"/>
        <v>1</v>
      </c>
      <c r="AT99" s="43">
        <f t="shared" si="70"/>
        <v>1</v>
      </c>
      <c r="AU99" s="43">
        <f t="shared" si="70"/>
        <v>1</v>
      </c>
      <c r="AV99" s="43">
        <f t="shared" si="71"/>
        <v>1</v>
      </c>
      <c r="AW99" s="43">
        <f t="shared" si="71"/>
        <v>1</v>
      </c>
      <c r="AX99" s="43">
        <f t="shared" si="71"/>
        <v>1</v>
      </c>
      <c r="AY99" s="43">
        <f t="shared" si="71"/>
        <v>1</v>
      </c>
      <c r="AZ99" s="43">
        <f t="shared" si="71"/>
        <v>1</v>
      </c>
      <c r="BA99" s="43">
        <f t="shared" si="71"/>
        <v>1</v>
      </c>
      <c r="BB99" s="43">
        <f t="shared" si="71"/>
        <v>1</v>
      </c>
      <c r="BC99" s="43">
        <f t="shared" si="71"/>
        <v>1</v>
      </c>
      <c r="BD99" s="43">
        <f t="shared" si="71"/>
        <v>1</v>
      </c>
      <c r="BE99" s="43">
        <f t="shared" si="71"/>
        <v>1</v>
      </c>
      <c r="BF99" s="43">
        <f t="shared" si="72"/>
        <v>1</v>
      </c>
      <c r="BG99" s="43">
        <f t="shared" si="72"/>
        <v>1</v>
      </c>
      <c r="BH99" s="43">
        <f t="shared" si="72"/>
        <v>1</v>
      </c>
      <c r="BI99" s="43">
        <f t="shared" si="72"/>
        <v>1</v>
      </c>
      <c r="BJ99" s="43">
        <f t="shared" si="72"/>
        <v>1</v>
      </c>
      <c r="BK99" s="43">
        <f t="shared" si="72"/>
        <v>1</v>
      </c>
      <c r="BL99" s="43">
        <f t="shared" si="72"/>
        <v>1</v>
      </c>
      <c r="BM99" s="43">
        <f t="shared" si="72"/>
        <v>1</v>
      </c>
      <c r="BN99" s="43">
        <f t="shared" si="72"/>
        <v>1</v>
      </c>
      <c r="BO99" s="43">
        <f t="shared" si="72"/>
        <v>1</v>
      </c>
      <c r="BP99" s="43">
        <f t="shared" si="73"/>
        <v>1</v>
      </c>
      <c r="BQ99" s="43">
        <f t="shared" si="73"/>
        <v>1</v>
      </c>
      <c r="BR99" s="43">
        <f t="shared" si="73"/>
        <v>0</v>
      </c>
      <c r="BS99" s="43">
        <f t="shared" si="73"/>
        <v>0</v>
      </c>
      <c r="BT99" s="43">
        <f t="shared" si="73"/>
        <v>0</v>
      </c>
      <c r="BU99" s="43">
        <f t="shared" si="73"/>
        <v>0</v>
      </c>
      <c r="BV99" s="43">
        <f t="shared" si="73"/>
        <v>0</v>
      </c>
      <c r="BW99" s="43">
        <f t="shared" si="73"/>
        <v>0</v>
      </c>
      <c r="BX99" s="43">
        <f t="shared" si="73"/>
        <v>0</v>
      </c>
      <c r="BY99" s="43">
        <f t="shared" si="73"/>
        <v>0</v>
      </c>
      <c r="BZ99" s="43">
        <f t="shared" si="73"/>
        <v>0</v>
      </c>
      <c r="CA99" s="43">
        <f t="shared" si="73"/>
        <v>0</v>
      </c>
    </row>
    <row r="100" spans="1:79" x14ac:dyDescent="0.25">
      <c r="A100" s="35">
        <v>83</v>
      </c>
      <c r="B100" s="8"/>
      <c r="C100" s="8"/>
      <c r="D100" s="8"/>
      <c r="E100" s="7"/>
      <c r="F100" s="49"/>
      <c r="G100" s="5"/>
      <c r="H100" s="10">
        <f t="shared" si="61"/>
        <v>0</v>
      </c>
      <c r="I100" s="49" t="e">
        <f>VLOOKUP(B100,База!$B$8:$I$52,3,FALSE)*60</f>
        <v>#N/A</v>
      </c>
      <c r="J100" s="35" t="e">
        <f>VLOOKUP(B100,База!$B$8:$I$52,7,FALSE)*I100</f>
        <v>#N/A</v>
      </c>
      <c r="K100" s="35" t="e">
        <f>VLOOKUP(B100,База!$B$8:$I$52,6,FALSE)</f>
        <v>#N/A</v>
      </c>
      <c r="L100" s="35" t="e">
        <f t="shared" si="59"/>
        <v>#N/A</v>
      </c>
      <c r="M100" s="9">
        <f t="shared" si="60"/>
        <v>0</v>
      </c>
      <c r="N100" s="53">
        <f t="shared" si="74"/>
        <v>612.23658315042314</v>
      </c>
      <c r="O100" s="53">
        <f t="shared" si="75"/>
        <v>612.23658315042314</v>
      </c>
      <c r="P100" s="53">
        <f t="shared" si="76"/>
        <v>0</v>
      </c>
      <c r="Q100" s="53">
        <f t="shared" si="77"/>
        <v>612.23658315042314</v>
      </c>
      <c r="R100" s="43">
        <f t="shared" si="68"/>
        <v>1</v>
      </c>
      <c r="S100" s="43">
        <f t="shared" si="68"/>
        <v>1</v>
      </c>
      <c r="T100" s="43">
        <f t="shared" si="68"/>
        <v>1</v>
      </c>
      <c r="U100" s="43">
        <f t="shared" si="68"/>
        <v>1</v>
      </c>
      <c r="V100" s="43">
        <f t="shared" si="68"/>
        <v>1</v>
      </c>
      <c r="W100" s="43">
        <f t="shared" si="68"/>
        <v>1</v>
      </c>
      <c r="X100" s="43">
        <f t="shared" si="68"/>
        <v>1</v>
      </c>
      <c r="Y100" s="43">
        <f t="shared" si="68"/>
        <v>1</v>
      </c>
      <c r="Z100" s="43">
        <f t="shared" si="68"/>
        <v>1</v>
      </c>
      <c r="AA100" s="43">
        <f t="shared" si="68"/>
        <v>1</v>
      </c>
      <c r="AB100" s="43">
        <f t="shared" si="69"/>
        <v>1</v>
      </c>
      <c r="AC100" s="43">
        <f t="shared" si="69"/>
        <v>1</v>
      </c>
      <c r="AD100" s="43">
        <f t="shared" si="69"/>
        <v>1</v>
      </c>
      <c r="AE100" s="43">
        <f t="shared" si="69"/>
        <v>1</v>
      </c>
      <c r="AF100" s="43">
        <f t="shared" si="69"/>
        <v>1</v>
      </c>
      <c r="AG100" s="43">
        <f t="shared" si="69"/>
        <v>1</v>
      </c>
      <c r="AH100" s="43">
        <f t="shared" si="69"/>
        <v>1</v>
      </c>
      <c r="AI100" s="43">
        <f t="shared" si="69"/>
        <v>1</v>
      </c>
      <c r="AJ100" s="43">
        <f t="shared" si="69"/>
        <v>1</v>
      </c>
      <c r="AK100" s="43">
        <f t="shared" si="69"/>
        <v>1</v>
      </c>
      <c r="AL100" s="43">
        <f t="shared" si="70"/>
        <v>1</v>
      </c>
      <c r="AM100" s="43">
        <f t="shared" si="70"/>
        <v>1</v>
      </c>
      <c r="AN100" s="43">
        <f t="shared" si="70"/>
        <v>1</v>
      </c>
      <c r="AO100" s="43">
        <f t="shared" si="70"/>
        <v>1</v>
      </c>
      <c r="AP100" s="43">
        <f t="shared" si="70"/>
        <v>1</v>
      </c>
      <c r="AQ100" s="43">
        <f t="shared" si="70"/>
        <v>1</v>
      </c>
      <c r="AR100" s="43">
        <f t="shared" si="70"/>
        <v>1</v>
      </c>
      <c r="AS100" s="43">
        <f t="shared" si="70"/>
        <v>1</v>
      </c>
      <c r="AT100" s="43">
        <f t="shared" si="70"/>
        <v>1</v>
      </c>
      <c r="AU100" s="43">
        <f t="shared" si="70"/>
        <v>1</v>
      </c>
      <c r="AV100" s="43">
        <f t="shared" si="71"/>
        <v>1</v>
      </c>
      <c r="AW100" s="43">
        <f t="shared" si="71"/>
        <v>1</v>
      </c>
      <c r="AX100" s="43">
        <f t="shared" si="71"/>
        <v>1</v>
      </c>
      <c r="AY100" s="43">
        <f t="shared" si="71"/>
        <v>1</v>
      </c>
      <c r="AZ100" s="43">
        <f t="shared" si="71"/>
        <v>1</v>
      </c>
      <c r="BA100" s="43">
        <f t="shared" si="71"/>
        <v>1</v>
      </c>
      <c r="BB100" s="43">
        <f t="shared" si="71"/>
        <v>1</v>
      </c>
      <c r="BC100" s="43">
        <f t="shared" si="71"/>
        <v>1</v>
      </c>
      <c r="BD100" s="43">
        <f t="shared" si="71"/>
        <v>1</v>
      </c>
      <c r="BE100" s="43">
        <f t="shared" si="71"/>
        <v>1</v>
      </c>
      <c r="BF100" s="43">
        <f t="shared" si="72"/>
        <v>1</v>
      </c>
      <c r="BG100" s="43">
        <f t="shared" si="72"/>
        <v>1</v>
      </c>
      <c r="BH100" s="43">
        <f t="shared" si="72"/>
        <v>1</v>
      </c>
      <c r="BI100" s="43">
        <f t="shared" si="72"/>
        <v>1</v>
      </c>
      <c r="BJ100" s="43">
        <f t="shared" si="72"/>
        <v>1</v>
      </c>
      <c r="BK100" s="43">
        <f t="shared" si="72"/>
        <v>1</v>
      </c>
      <c r="BL100" s="43">
        <f t="shared" si="72"/>
        <v>1</v>
      </c>
      <c r="BM100" s="43">
        <f t="shared" si="72"/>
        <v>1</v>
      </c>
      <c r="BN100" s="43">
        <f t="shared" si="72"/>
        <v>1</v>
      </c>
      <c r="BO100" s="43">
        <f t="shared" si="72"/>
        <v>1</v>
      </c>
      <c r="BP100" s="43">
        <f t="shared" si="73"/>
        <v>1</v>
      </c>
      <c r="BQ100" s="43">
        <f t="shared" si="73"/>
        <v>1</v>
      </c>
      <c r="BR100" s="43">
        <f t="shared" si="73"/>
        <v>0</v>
      </c>
      <c r="BS100" s="43">
        <f t="shared" si="73"/>
        <v>0</v>
      </c>
      <c r="BT100" s="43">
        <f t="shared" si="73"/>
        <v>0</v>
      </c>
      <c r="BU100" s="43">
        <f t="shared" si="73"/>
        <v>0</v>
      </c>
      <c r="BV100" s="43">
        <f t="shared" si="73"/>
        <v>0</v>
      </c>
      <c r="BW100" s="43">
        <f t="shared" si="73"/>
        <v>0</v>
      </c>
      <c r="BX100" s="43">
        <f t="shared" si="73"/>
        <v>0</v>
      </c>
      <c r="BY100" s="43">
        <f t="shared" si="73"/>
        <v>0</v>
      </c>
      <c r="BZ100" s="43">
        <f t="shared" si="73"/>
        <v>0</v>
      </c>
      <c r="CA100" s="43">
        <f t="shared" si="73"/>
        <v>0</v>
      </c>
    </row>
    <row r="101" spans="1:79" x14ac:dyDescent="0.25">
      <c r="A101" s="35">
        <v>84</v>
      </c>
      <c r="B101" s="8"/>
      <c r="C101" s="8"/>
      <c r="D101" s="8"/>
      <c r="E101" s="7"/>
      <c r="F101" s="49"/>
      <c r="G101" s="5"/>
      <c r="H101" s="10">
        <f t="shared" si="61"/>
        <v>0</v>
      </c>
      <c r="I101" s="49" t="e">
        <f>VLOOKUP(B101,База!$B$8:$I$52,3,FALSE)*60</f>
        <v>#N/A</v>
      </c>
      <c r="J101" s="35" t="e">
        <f>VLOOKUP(B101,База!$B$8:$I$52,7,FALSE)*I101</f>
        <v>#N/A</v>
      </c>
      <c r="K101" s="35" t="e">
        <f>VLOOKUP(B101,База!$B$8:$I$52,6,FALSE)</f>
        <v>#N/A</v>
      </c>
      <c r="L101" s="35" t="e">
        <f t="shared" si="59"/>
        <v>#N/A</v>
      </c>
      <c r="M101" s="9">
        <f t="shared" si="60"/>
        <v>0</v>
      </c>
      <c r="N101" s="53">
        <f t="shared" si="74"/>
        <v>612.23658315042314</v>
      </c>
      <c r="O101" s="53">
        <f t="shared" si="75"/>
        <v>612.23658315042314</v>
      </c>
      <c r="P101" s="53">
        <f t="shared" si="76"/>
        <v>0</v>
      </c>
      <c r="Q101" s="53">
        <f t="shared" si="77"/>
        <v>612.23658315042314</v>
      </c>
      <c r="R101" s="43">
        <f t="shared" si="68"/>
        <v>1</v>
      </c>
      <c r="S101" s="43">
        <f t="shared" si="68"/>
        <v>1</v>
      </c>
      <c r="T101" s="43">
        <f t="shared" si="68"/>
        <v>1</v>
      </c>
      <c r="U101" s="43">
        <f t="shared" si="68"/>
        <v>1</v>
      </c>
      <c r="V101" s="43">
        <f t="shared" si="68"/>
        <v>1</v>
      </c>
      <c r="W101" s="43">
        <f t="shared" si="68"/>
        <v>1</v>
      </c>
      <c r="X101" s="43">
        <f t="shared" si="68"/>
        <v>1</v>
      </c>
      <c r="Y101" s="43">
        <f t="shared" si="68"/>
        <v>1</v>
      </c>
      <c r="Z101" s="43">
        <f t="shared" si="68"/>
        <v>1</v>
      </c>
      <c r="AA101" s="43">
        <f t="shared" si="68"/>
        <v>1</v>
      </c>
      <c r="AB101" s="43">
        <f t="shared" si="69"/>
        <v>1</v>
      </c>
      <c r="AC101" s="43">
        <f t="shared" si="69"/>
        <v>1</v>
      </c>
      <c r="AD101" s="43">
        <f t="shared" si="69"/>
        <v>1</v>
      </c>
      <c r="AE101" s="43">
        <f t="shared" si="69"/>
        <v>1</v>
      </c>
      <c r="AF101" s="43">
        <f t="shared" si="69"/>
        <v>1</v>
      </c>
      <c r="AG101" s="43">
        <f t="shared" si="69"/>
        <v>1</v>
      </c>
      <c r="AH101" s="43">
        <f t="shared" si="69"/>
        <v>1</v>
      </c>
      <c r="AI101" s="43">
        <f t="shared" si="69"/>
        <v>1</v>
      </c>
      <c r="AJ101" s="43">
        <f t="shared" si="69"/>
        <v>1</v>
      </c>
      <c r="AK101" s="43">
        <f t="shared" si="69"/>
        <v>1</v>
      </c>
      <c r="AL101" s="43">
        <f t="shared" si="70"/>
        <v>1</v>
      </c>
      <c r="AM101" s="43">
        <f t="shared" si="70"/>
        <v>1</v>
      </c>
      <c r="AN101" s="43">
        <f t="shared" si="70"/>
        <v>1</v>
      </c>
      <c r="AO101" s="43">
        <f t="shared" si="70"/>
        <v>1</v>
      </c>
      <c r="AP101" s="43">
        <f t="shared" si="70"/>
        <v>1</v>
      </c>
      <c r="AQ101" s="43">
        <f t="shared" si="70"/>
        <v>1</v>
      </c>
      <c r="AR101" s="43">
        <f t="shared" si="70"/>
        <v>1</v>
      </c>
      <c r="AS101" s="43">
        <f t="shared" si="70"/>
        <v>1</v>
      </c>
      <c r="AT101" s="43">
        <f t="shared" si="70"/>
        <v>1</v>
      </c>
      <c r="AU101" s="43">
        <f t="shared" si="70"/>
        <v>1</v>
      </c>
      <c r="AV101" s="43">
        <f t="shared" si="71"/>
        <v>1</v>
      </c>
      <c r="AW101" s="43">
        <f t="shared" si="71"/>
        <v>1</v>
      </c>
      <c r="AX101" s="43">
        <f t="shared" si="71"/>
        <v>1</v>
      </c>
      <c r="AY101" s="43">
        <f t="shared" si="71"/>
        <v>1</v>
      </c>
      <c r="AZ101" s="43">
        <f t="shared" si="71"/>
        <v>1</v>
      </c>
      <c r="BA101" s="43">
        <f t="shared" si="71"/>
        <v>1</v>
      </c>
      <c r="BB101" s="43">
        <f t="shared" si="71"/>
        <v>1</v>
      </c>
      <c r="BC101" s="43">
        <f t="shared" si="71"/>
        <v>1</v>
      </c>
      <c r="BD101" s="43">
        <f t="shared" si="71"/>
        <v>1</v>
      </c>
      <c r="BE101" s="43">
        <f t="shared" si="71"/>
        <v>1</v>
      </c>
      <c r="BF101" s="43">
        <f t="shared" si="72"/>
        <v>1</v>
      </c>
      <c r="BG101" s="43">
        <f t="shared" si="72"/>
        <v>1</v>
      </c>
      <c r="BH101" s="43">
        <f t="shared" si="72"/>
        <v>1</v>
      </c>
      <c r="BI101" s="43">
        <f t="shared" si="72"/>
        <v>1</v>
      </c>
      <c r="BJ101" s="43">
        <f t="shared" si="72"/>
        <v>1</v>
      </c>
      <c r="BK101" s="43">
        <f t="shared" si="72"/>
        <v>1</v>
      </c>
      <c r="BL101" s="43">
        <f t="shared" si="72"/>
        <v>1</v>
      </c>
      <c r="BM101" s="43">
        <f t="shared" si="72"/>
        <v>1</v>
      </c>
      <c r="BN101" s="43">
        <f t="shared" si="72"/>
        <v>1</v>
      </c>
      <c r="BO101" s="43">
        <f t="shared" si="72"/>
        <v>1</v>
      </c>
      <c r="BP101" s="43">
        <f t="shared" si="73"/>
        <v>1</v>
      </c>
      <c r="BQ101" s="43">
        <f t="shared" si="73"/>
        <v>1</v>
      </c>
      <c r="BR101" s="43">
        <f t="shared" si="73"/>
        <v>0</v>
      </c>
      <c r="BS101" s="43">
        <f t="shared" si="73"/>
        <v>0</v>
      </c>
      <c r="BT101" s="43">
        <f t="shared" si="73"/>
        <v>0</v>
      </c>
      <c r="BU101" s="43">
        <f t="shared" si="73"/>
        <v>0</v>
      </c>
      <c r="BV101" s="43">
        <f t="shared" si="73"/>
        <v>0</v>
      </c>
      <c r="BW101" s="43">
        <f t="shared" si="73"/>
        <v>0</v>
      </c>
      <c r="BX101" s="43">
        <f t="shared" si="73"/>
        <v>0</v>
      </c>
      <c r="BY101" s="43">
        <f t="shared" si="73"/>
        <v>0</v>
      </c>
      <c r="BZ101" s="43">
        <f t="shared" si="73"/>
        <v>0</v>
      </c>
      <c r="CA101" s="43">
        <f t="shared" si="73"/>
        <v>0</v>
      </c>
    </row>
    <row r="102" spans="1:79" x14ac:dyDescent="0.25">
      <c r="A102" s="35">
        <v>85</v>
      </c>
      <c r="B102" s="8"/>
      <c r="C102" s="8"/>
      <c r="D102" s="8"/>
      <c r="E102" s="7"/>
      <c r="F102" s="49"/>
      <c r="G102" s="5"/>
      <c r="H102" s="10">
        <f t="shared" si="61"/>
        <v>0</v>
      </c>
      <c r="I102" s="49" t="e">
        <f>VLOOKUP(B102,База!$B$8:$I$52,3,FALSE)*60</f>
        <v>#N/A</v>
      </c>
      <c r="J102" s="35" t="e">
        <f>VLOOKUP(B102,База!$B$8:$I$52,7,FALSE)*I102</f>
        <v>#N/A</v>
      </c>
      <c r="K102" s="35" t="e">
        <f>VLOOKUP(B102,База!$B$8:$I$52,6,FALSE)</f>
        <v>#N/A</v>
      </c>
      <c r="L102" s="35" t="e">
        <f t="shared" si="59"/>
        <v>#N/A</v>
      </c>
      <c r="M102" s="9">
        <f t="shared" si="60"/>
        <v>0</v>
      </c>
      <c r="N102" s="53">
        <f t="shared" si="74"/>
        <v>612.23658315042314</v>
      </c>
      <c r="O102" s="53">
        <f t="shared" si="75"/>
        <v>612.23658315042314</v>
      </c>
      <c r="P102" s="53">
        <f t="shared" si="76"/>
        <v>0</v>
      </c>
      <c r="Q102" s="53">
        <f t="shared" si="77"/>
        <v>612.23658315042314</v>
      </c>
      <c r="R102" s="43">
        <f t="shared" ref="R102:AA111" si="78">IF($Q102&gt;R$10,IF($Q102-$P102&lt;=R$10,$L102,1),0)</f>
        <v>1</v>
      </c>
      <c r="S102" s="43">
        <f t="shared" si="78"/>
        <v>1</v>
      </c>
      <c r="T102" s="43">
        <f t="shared" si="78"/>
        <v>1</v>
      </c>
      <c r="U102" s="43">
        <f t="shared" si="78"/>
        <v>1</v>
      </c>
      <c r="V102" s="43">
        <f t="shared" si="78"/>
        <v>1</v>
      </c>
      <c r="W102" s="43">
        <f t="shared" si="78"/>
        <v>1</v>
      </c>
      <c r="X102" s="43">
        <f t="shared" si="78"/>
        <v>1</v>
      </c>
      <c r="Y102" s="43">
        <f t="shared" si="78"/>
        <v>1</v>
      </c>
      <c r="Z102" s="43">
        <f t="shared" si="78"/>
        <v>1</v>
      </c>
      <c r="AA102" s="43">
        <f t="shared" si="78"/>
        <v>1</v>
      </c>
      <c r="AB102" s="43">
        <f t="shared" ref="AB102:AK111" si="79">IF($Q102&gt;AB$10,IF($Q102-$P102&lt;=AB$10,$L102,1),0)</f>
        <v>1</v>
      </c>
      <c r="AC102" s="43">
        <f t="shared" si="79"/>
        <v>1</v>
      </c>
      <c r="AD102" s="43">
        <f t="shared" si="79"/>
        <v>1</v>
      </c>
      <c r="AE102" s="43">
        <f t="shared" si="79"/>
        <v>1</v>
      </c>
      <c r="AF102" s="43">
        <f t="shared" si="79"/>
        <v>1</v>
      </c>
      <c r="AG102" s="43">
        <f t="shared" si="79"/>
        <v>1</v>
      </c>
      <c r="AH102" s="43">
        <f t="shared" si="79"/>
        <v>1</v>
      </c>
      <c r="AI102" s="43">
        <f t="shared" si="79"/>
        <v>1</v>
      </c>
      <c r="AJ102" s="43">
        <f t="shared" si="79"/>
        <v>1</v>
      </c>
      <c r="AK102" s="43">
        <f t="shared" si="79"/>
        <v>1</v>
      </c>
      <c r="AL102" s="43">
        <f t="shared" ref="AL102:AU111" si="80">IF($Q102&gt;AL$10,IF($Q102-$P102&lt;=AL$10,$L102,1),0)</f>
        <v>1</v>
      </c>
      <c r="AM102" s="43">
        <f t="shared" si="80"/>
        <v>1</v>
      </c>
      <c r="AN102" s="43">
        <f t="shared" si="80"/>
        <v>1</v>
      </c>
      <c r="AO102" s="43">
        <f t="shared" si="80"/>
        <v>1</v>
      </c>
      <c r="AP102" s="43">
        <f t="shared" si="80"/>
        <v>1</v>
      </c>
      <c r="AQ102" s="43">
        <f t="shared" si="80"/>
        <v>1</v>
      </c>
      <c r="AR102" s="43">
        <f t="shared" si="80"/>
        <v>1</v>
      </c>
      <c r="AS102" s="43">
        <f t="shared" si="80"/>
        <v>1</v>
      </c>
      <c r="AT102" s="43">
        <f t="shared" si="80"/>
        <v>1</v>
      </c>
      <c r="AU102" s="43">
        <f t="shared" si="80"/>
        <v>1</v>
      </c>
      <c r="AV102" s="43">
        <f t="shared" ref="AV102:BE111" si="81">IF($Q102&gt;AV$10,IF($Q102-$P102&lt;=AV$10,$L102,1),0)</f>
        <v>1</v>
      </c>
      <c r="AW102" s="43">
        <f t="shared" si="81"/>
        <v>1</v>
      </c>
      <c r="AX102" s="43">
        <f t="shared" si="81"/>
        <v>1</v>
      </c>
      <c r="AY102" s="43">
        <f t="shared" si="81"/>
        <v>1</v>
      </c>
      <c r="AZ102" s="43">
        <f t="shared" si="81"/>
        <v>1</v>
      </c>
      <c r="BA102" s="43">
        <f t="shared" si="81"/>
        <v>1</v>
      </c>
      <c r="BB102" s="43">
        <f t="shared" si="81"/>
        <v>1</v>
      </c>
      <c r="BC102" s="43">
        <f t="shared" si="81"/>
        <v>1</v>
      </c>
      <c r="BD102" s="43">
        <f t="shared" si="81"/>
        <v>1</v>
      </c>
      <c r="BE102" s="43">
        <f t="shared" si="81"/>
        <v>1</v>
      </c>
      <c r="BF102" s="43">
        <f t="shared" ref="BF102:BO111" si="82">IF($Q102&gt;BF$10,IF($Q102-$P102&lt;=BF$10,$L102,1),0)</f>
        <v>1</v>
      </c>
      <c r="BG102" s="43">
        <f t="shared" si="82"/>
        <v>1</v>
      </c>
      <c r="BH102" s="43">
        <f t="shared" si="82"/>
        <v>1</v>
      </c>
      <c r="BI102" s="43">
        <f t="shared" si="82"/>
        <v>1</v>
      </c>
      <c r="BJ102" s="43">
        <f t="shared" si="82"/>
        <v>1</v>
      </c>
      <c r="BK102" s="43">
        <f t="shared" si="82"/>
        <v>1</v>
      </c>
      <c r="BL102" s="43">
        <f t="shared" si="82"/>
        <v>1</v>
      </c>
      <c r="BM102" s="43">
        <f t="shared" si="82"/>
        <v>1</v>
      </c>
      <c r="BN102" s="43">
        <f t="shared" si="82"/>
        <v>1</v>
      </c>
      <c r="BO102" s="43">
        <f t="shared" si="82"/>
        <v>1</v>
      </c>
      <c r="BP102" s="43">
        <f t="shared" ref="BP102:CA111" si="83">IF($Q102&gt;BP$10,IF($Q102-$P102&lt;=BP$10,$L102,1),0)</f>
        <v>1</v>
      </c>
      <c r="BQ102" s="43">
        <f t="shared" si="83"/>
        <v>1</v>
      </c>
      <c r="BR102" s="43">
        <f t="shared" si="83"/>
        <v>0</v>
      </c>
      <c r="BS102" s="43">
        <f t="shared" si="83"/>
        <v>0</v>
      </c>
      <c r="BT102" s="43">
        <f t="shared" si="83"/>
        <v>0</v>
      </c>
      <c r="BU102" s="43">
        <f t="shared" si="83"/>
        <v>0</v>
      </c>
      <c r="BV102" s="43">
        <f t="shared" si="83"/>
        <v>0</v>
      </c>
      <c r="BW102" s="43">
        <f t="shared" si="83"/>
        <v>0</v>
      </c>
      <c r="BX102" s="43">
        <f t="shared" si="83"/>
        <v>0</v>
      </c>
      <c r="BY102" s="43">
        <f t="shared" si="83"/>
        <v>0</v>
      </c>
      <c r="BZ102" s="43">
        <f t="shared" si="83"/>
        <v>0</v>
      </c>
      <c r="CA102" s="43">
        <f t="shared" si="83"/>
        <v>0</v>
      </c>
    </row>
    <row r="103" spans="1:79" x14ac:dyDescent="0.25">
      <c r="A103" s="35">
        <v>86</v>
      </c>
      <c r="B103" s="8"/>
      <c r="C103" s="8"/>
      <c r="D103" s="8"/>
      <c r="E103" s="7"/>
      <c r="F103" s="49"/>
      <c r="G103" s="5"/>
      <c r="H103" s="10">
        <f t="shared" si="61"/>
        <v>0</v>
      </c>
      <c r="I103" s="49" t="e">
        <f>VLOOKUP(B103,База!$B$8:$I$52,3,FALSE)*60</f>
        <v>#N/A</v>
      </c>
      <c r="J103" s="35" t="e">
        <f>VLOOKUP(B103,База!$B$8:$I$52,7,FALSE)*I103</f>
        <v>#N/A</v>
      </c>
      <c r="K103" s="35" t="e">
        <f>VLOOKUP(B103,База!$B$8:$I$52,6,FALSE)</f>
        <v>#N/A</v>
      </c>
      <c r="L103" s="35" t="e">
        <f t="shared" si="59"/>
        <v>#N/A</v>
      </c>
      <c r="M103" s="9">
        <f t="shared" si="60"/>
        <v>0</v>
      </c>
      <c r="N103" s="53">
        <f t="shared" si="74"/>
        <v>612.23658315042314</v>
      </c>
      <c r="O103" s="53">
        <f t="shared" si="75"/>
        <v>612.23658315042314</v>
      </c>
      <c r="P103" s="53">
        <f t="shared" si="76"/>
        <v>0</v>
      </c>
      <c r="Q103" s="53">
        <f t="shared" si="77"/>
        <v>612.23658315042314</v>
      </c>
      <c r="R103" s="43">
        <f t="shared" si="78"/>
        <v>1</v>
      </c>
      <c r="S103" s="43">
        <f t="shared" si="78"/>
        <v>1</v>
      </c>
      <c r="T103" s="43">
        <f t="shared" si="78"/>
        <v>1</v>
      </c>
      <c r="U103" s="43">
        <f t="shared" si="78"/>
        <v>1</v>
      </c>
      <c r="V103" s="43">
        <f t="shared" si="78"/>
        <v>1</v>
      </c>
      <c r="W103" s="43">
        <f t="shared" si="78"/>
        <v>1</v>
      </c>
      <c r="X103" s="43">
        <f t="shared" si="78"/>
        <v>1</v>
      </c>
      <c r="Y103" s="43">
        <f t="shared" si="78"/>
        <v>1</v>
      </c>
      <c r="Z103" s="43">
        <f t="shared" si="78"/>
        <v>1</v>
      </c>
      <c r="AA103" s="43">
        <f t="shared" si="78"/>
        <v>1</v>
      </c>
      <c r="AB103" s="43">
        <f t="shared" si="79"/>
        <v>1</v>
      </c>
      <c r="AC103" s="43">
        <f t="shared" si="79"/>
        <v>1</v>
      </c>
      <c r="AD103" s="43">
        <f t="shared" si="79"/>
        <v>1</v>
      </c>
      <c r="AE103" s="43">
        <f t="shared" si="79"/>
        <v>1</v>
      </c>
      <c r="AF103" s="43">
        <f t="shared" si="79"/>
        <v>1</v>
      </c>
      <c r="AG103" s="43">
        <f t="shared" si="79"/>
        <v>1</v>
      </c>
      <c r="AH103" s="43">
        <f t="shared" si="79"/>
        <v>1</v>
      </c>
      <c r="AI103" s="43">
        <f t="shared" si="79"/>
        <v>1</v>
      </c>
      <c r="AJ103" s="43">
        <f t="shared" si="79"/>
        <v>1</v>
      </c>
      <c r="AK103" s="43">
        <f t="shared" si="79"/>
        <v>1</v>
      </c>
      <c r="AL103" s="43">
        <f t="shared" si="80"/>
        <v>1</v>
      </c>
      <c r="AM103" s="43">
        <f t="shared" si="80"/>
        <v>1</v>
      </c>
      <c r="AN103" s="43">
        <f t="shared" si="80"/>
        <v>1</v>
      </c>
      <c r="AO103" s="43">
        <f t="shared" si="80"/>
        <v>1</v>
      </c>
      <c r="AP103" s="43">
        <f t="shared" si="80"/>
        <v>1</v>
      </c>
      <c r="AQ103" s="43">
        <f t="shared" si="80"/>
        <v>1</v>
      </c>
      <c r="AR103" s="43">
        <f t="shared" si="80"/>
        <v>1</v>
      </c>
      <c r="AS103" s="43">
        <f t="shared" si="80"/>
        <v>1</v>
      </c>
      <c r="AT103" s="43">
        <f t="shared" si="80"/>
        <v>1</v>
      </c>
      <c r="AU103" s="43">
        <f t="shared" si="80"/>
        <v>1</v>
      </c>
      <c r="AV103" s="43">
        <f t="shared" si="81"/>
        <v>1</v>
      </c>
      <c r="AW103" s="43">
        <f t="shared" si="81"/>
        <v>1</v>
      </c>
      <c r="AX103" s="43">
        <f t="shared" si="81"/>
        <v>1</v>
      </c>
      <c r="AY103" s="43">
        <f t="shared" si="81"/>
        <v>1</v>
      </c>
      <c r="AZ103" s="43">
        <f t="shared" si="81"/>
        <v>1</v>
      </c>
      <c r="BA103" s="43">
        <f t="shared" si="81"/>
        <v>1</v>
      </c>
      <c r="BB103" s="43">
        <f t="shared" si="81"/>
        <v>1</v>
      </c>
      <c r="BC103" s="43">
        <f t="shared" si="81"/>
        <v>1</v>
      </c>
      <c r="BD103" s="43">
        <f t="shared" si="81"/>
        <v>1</v>
      </c>
      <c r="BE103" s="43">
        <f t="shared" si="81"/>
        <v>1</v>
      </c>
      <c r="BF103" s="43">
        <f t="shared" si="82"/>
        <v>1</v>
      </c>
      <c r="BG103" s="43">
        <f t="shared" si="82"/>
        <v>1</v>
      </c>
      <c r="BH103" s="43">
        <f t="shared" si="82"/>
        <v>1</v>
      </c>
      <c r="BI103" s="43">
        <f t="shared" si="82"/>
        <v>1</v>
      </c>
      <c r="BJ103" s="43">
        <f t="shared" si="82"/>
        <v>1</v>
      </c>
      <c r="BK103" s="43">
        <f t="shared" si="82"/>
        <v>1</v>
      </c>
      <c r="BL103" s="43">
        <f t="shared" si="82"/>
        <v>1</v>
      </c>
      <c r="BM103" s="43">
        <f t="shared" si="82"/>
        <v>1</v>
      </c>
      <c r="BN103" s="43">
        <f t="shared" si="82"/>
        <v>1</v>
      </c>
      <c r="BO103" s="43">
        <f t="shared" si="82"/>
        <v>1</v>
      </c>
      <c r="BP103" s="43">
        <f t="shared" si="83"/>
        <v>1</v>
      </c>
      <c r="BQ103" s="43">
        <f t="shared" si="83"/>
        <v>1</v>
      </c>
      <c r="BR103" s="43">
        <f t="shared" si="83"/>
        <v>0</v>
      </c>
      <c r="BS103" s="43">
        <f t="shared" si="83"/>
        <v>0</v>
      </c>
      <c r="BT103" s="43">
        <f t="shared" si="83"/>
        <v>0</v>
      </c>
      <c r="BU103" s="43">
        <f t="shared" si="83"/>
        <v>0</v>
      </c>
      <c r="BV103" s="43">
        <f t="shared" si="83"/>
        <v>0</v>
      </c>
      <c r="BW103" s="43">
        <f t="shared" si="83"/>
        <v>0</v>
      </c>
      <c r="BX103" s="43">
        <f t="shared" si="83"/>
        <v>0</v>
      </c>
      <c r="BY103" s="43">
        <f t="shared" si="83"/>
        <v>0</v>
      </c>
      <c r="BZ103" s="43">
        <f t="shared" si="83"/>
        <v>0</v>
      </c>
      <c r="CA103" s="43">
        <f t="shared" si="83"/>
        <v>0</v>
      </c>
    </row>
    <row r="104" spans="1:79" x14ac:dyDescent="0.25">
      <c r="A104" s="35">
        <v>87</v>
      </c>
      <c r="B104" s="8"/>
      <c r="C104" s="8"/>
      <c r="D104" s="8"/>
      <c r="E104" s="7"/>
      <c r="F104" s="49"/>
      <c r="G104" s="5"/>
      <c r="H104" s="10">
        <f t="shared" si="61"/>
        <v>0</v>
      </c>
      <c r="I104" s="49" t="e">
        <f>VLOOKUP(B104,База!$B$8:$I$52,3,FALSE)*60</f>
        <v>#N/A</v>
      </c>
      <c r="J104" s="35" t="e">
        <f>VLOOKUP(B104,База!$B$8:$I$52,7,FALSE)*I104</f>
        <v>#N/A</v>
      </c>
      <c r="K104" s="35" t="e">
        <f>VLOOKUP(B104,База!$B$8:$I$52,6,FALSE)</f>
        <v>#N/A</v>
      </c>
      <c r="L104" s="35" t="e">
        <f t="shared" si="59"/>
        <v>#N/A</v>
      </c>
      <c r="M104" s="9">
        <f t="shared" si="60"/>
        <v>0</v>
      </c>
      <c r="N104" s="53">
        <f t="shared" si="74"/>
        <v>612.23658315042314</v>
      </c>
      <c r="O104" s="53">
        <f t="shared" si="75"/>
        <v>612.23658315042314</v>
      </c>
      <c r="P104" s="53">
        <f t="shared" si="76"/>
        <v>0</v>
      </c>
      <c r="Q104" s="53">
        <f t="shared" si="77"/>
        <v>612.23658315042314</v>
      </c>
      <c r="R104" s="43">
        <f t="shared" si="78"/>
        <v>1</v>
      </c>
      <c r="S104" s="43">
        <f t="shared" si="78"/>
        <v>1</v>
      </c>
      <c r="T104" s="43">
        <f t="shared" si="78"/>
        <v>1</v>
      </c>
      <c r="U104" s="43">
        <f t="shared" si="78"/>
        <v>1</v>
      </c>
      <c r="V104" s="43">
        <f t="shared" si="78"/>
        <v>1</v>
      </c>
      <c r="W104" s="43">
        <f t="shared" si="78"/>
        <v>1</v>
      </c>
      <c r="X104" s="43">
        <f t="shared" si="78"/>
        <v>1</v>
      </c>
      <c r="Y104" s="43">
        <f t="shared" si="78"/>
        <v>1</v>
      </c>
      <c r="Z104" s="43">
        <f t="shared" si="78"/>
        <v>1</v>
      </c>
      <c r="AA104" s="43">
        <f t="shared" si="78"/>
        <v>1</v>
      </c>
      <c r="AB104" s="43">
        <f t="shared" si="79"/>
        <v>1</v>
      </c>
      <c r="AC104" s="43">
        <f t="shared" si="79"/>
        <v>1</v>
      </c>
      <c r="AD104" s="43">
        <f t="shared" si="79"/>
        <v>1</v>
      </c>
      <c r="AE104" s="43">
        <f t="shared" si="79"/>
        <v>1</v>
      </c>
      <c r="AF104" s="43">
        <f t="shared" si="79"/>
        <v>1</v>
      </c>
      <c r="AG104" s="43">
        <f t="shared" si="79"/>
        <v>1</v>
      </c>
      <c r="AH104" s="43">
        <f t="shared" si="79"/>
        <v>1</v>
      </c>
      <c r="AI104" s="43">
        <f t="shared" si="79"/>
        <v>1</v>
      </c>
      <c r="AJ104" s="43">
        <f t="shared" si="79"/>
        <v>1</v>
      </c>
      <c r="AK104" s="43">
        <f t="shared" si="79"/>
        <v>1</v>
      </c>
      <c r="AL104" s="43">
        <f t="shared" si="80"/>
        <v>1</v>
      </c>
      <c r="AM104" s="43">
        <f t="shared" si="80"/>
        <v>1</v>
      </c>
      <c r="AN104" s="43">
        <f t="shared" si="80"/>
        <v>1</v>
      </c>
      <c r="AO104" s="43">
        <f t="shared" si="80"/>
        <v>1</v>
      </c>
      <c r="AP104" s="43">
        <f t="shared" si="80"/>
        <v>1</v>
      </c>
      <c r="AQ104" s="43">
        <f t="shared" si="80"/>
        <v>1</v>
      </c>
      <c r="AR104" s="43">
        <f t="shared" si="80"/>
        <v>1</v>
      </c>
      <c r="AS104" s="43">
        <f t="shared" si="80"/>
        <v>1</v>
      </c>
      <c r="AT104" s="43">
        <f t="shared" si="80"/>
        <v>1</v>
      </c>
      <c r="AU104" s="43">
        <f t="shared" si="80"/>
        <v>1</v>
      </c>
      <c r="AV104" s="43">
        <f t="shared" si="81"/>
        <v>1</v>
      </c>
      <c r="AW104" s="43">
        <f t="shared" si="81"/>
        <v>1</v>
      </c>
      <c r="AX104" s="43">
        <f t="shared" si="81"/>
        <v>1</v>
      </c>
      <c r="AY104" s="43">
        <f t="shared" si="81"/>
        <v>1</v>
      </c>
      <c r="AZ104" s="43">
        <f t="shared" si="81"/>
        <v>1</v>
      </c>
      <c r="BA104" s="43">
        <f t="shared" si="81"/>
        <v>1</v>
      </c>
      <c r="BB104" s="43">
        <f t="shared" si="81"/>
        <v>1</v>
      </c>
      <c r="BC104" s="43">
        <f t="shared" si="81"/>
        <v>1</v>
      </c>
      <c r="BD104" s="43">
        <f t="shared" si="81"/>
        <v>1</v>
      </c>
      <c r="BE104" s="43">
        <f t="shared" si="81"/>
        <v>1</v>
      </c>
      <c r="BF104" s="43">
        <f t="shared" si="82"/>
        <v>1</v>
      </c>
      <c r="BG104" s="43">
        <f t="shared" si="82"/>
        <v>1</v>
      </c>
      <c r="BH104" s="43">
        <f t="shared" si="82"/>
        <v>1</v>
      </c>
      <c r="BI104" s="43">
        <f t="shared" si="82"/>
        <v>1</v>
      </c>
      <c r="BJ104" s="43">
        <f t="shared" si="82"/>
        <v>1</v>
      </c>
      <c r="BK104" s="43">
        <f t="shared" si="82"/>
        <v>1</v>
      </c>
      <c r="BL104" s="43">
        <f t="shared" si="82"/>
        <v>1</v>
      </c>
      <c r="BM104" s="43">
        <f t="shared" si="82"/>
        <v>1</v>
      </c>
      <c r="BN104" s="43">
        <f t="shared" si="82"/>
        <v>1</v>
      </c>
      <c r="BO104" s="43">
        <f t="shared" si="82"/>
        <v>1</v>
      </c>
      <c r="BP104" s="43">
        <f t="shared" si="83"/>
        <v>1</v>
      </c>
      <c r="BQ104" s="43">
        <f t="shared" si="83"/>
        <v>1</v>
      </c>
      <c r="BR104" s="43">
        <f t="shared" si="83"/>
        <v>0</v>
      </c>
      <c r="BS104" s="43">
        <f t="shared" si="83"/>
        <v>0</v>
      </c>
      <c r="BT104" s="43">
        <f t="shared" si="83"/>
        <v>0</v>
      </c>
      <c r="BU104" s="43">
        <f t="shared" si="83"/>
        <v>0</v>
      </c>
      <c r="BV104" s="43">
        <f t="shared" si="83"/>
        <v>0</v>
      </c>
      <c r="BW104" s="43">
        <f t="shared" si="83"/>
        <v>0</v>
      </c>
      <c r="BX104" s="43">
        <f t="shared" si="83"/>
        <v>0</v>
      </c>
      <c r="BY104" s="43">
        <f t="shared" si="83"/>
        <v>0</v>
      </c>
      <c r="BZ104" s="43">
        <f t="shared" si="83"/>
        <v>0</v>
      </c>
      <c r="CA104" s="43">
        <f t="shared" si="83"/>
        <v>0</v>
      </c>
    </row>
    <row r="105" spans="1:79" x14ac:dyDescent="0.25">
      <c r="A105" s="35">
        <v>88</v>
      </c>
      <c r="B105" s="8"/>
      <c r="C105" s="8"/>
      <c r="D105" s="8"/>
      <c r="E105" s="7"/>
      <c r="F105" s="49"/>
      <c r="G105" s="5"/>
      <c r="H105" s="10">
        <f t="shared" si="61"/>
        <v>0</v>
      </c>
      <c r="I105" s="49" t="e">
        <f>VLOOKUP(B105,База!$B$8:$I$52,3,FALSE)*60</f>
        <v>#N/A</v>
      </c>
      <c r="J105" s="35" t="e">
        <f>VLOOKUP(B105,База!$B$8:$I$52,7,FALSE)*I105</f>
        <v>#N/A</v>
      </c>
      <c r="K105" s="35" t="e">
        <f>VLOOKUP(B105,База!$B$8:$I$52,6,FALSE)</f>
        <v>#N/A</v>
      </c>
      <c r="L105" s="35" t="e">
        <f t="shared" si="59"/>
        <v>#N/A</v>
      </c>
      <c r="M105" s="9">
        <f t="shared" si="60"/>
        <v>0</v>
      </c>
      <c r="N105" s="53">
        <f t="shared" si="74"/>
        <v>612.23658315042314</v>
      </c>
      <c r="O105" s="53">
        <f t="shared" si="75"/>
        <v>612.23658315042314</v>
      </c>
      <c r="P105" s="53">
        <f t="shared" si="76"/>
        <v>0</v>
      </c>
      <c r="Q105" s="53">
        <f t="shared" si="77"/>
        <v>612.23658315042314</v>
      </c>
      <c r="R105" s="43">
        <f t="shared" si="78"/>
        <v>1</v>
      </c>
      <c r="S105" s="43">
        <f t="shared" si="78"/>
        <v>1</v>
      </c>
      <c r="T105" s="43">
        <f t="shared" si="78"/>
        <v>1</v>
      </c>
      <c r="U105" s="43">
        <f t="shared" si="78"/>
        <v>1</v>
      </c>
      <c r="V105" s="43">
        <f t="shared" si="78"/>
        <v>1</v>
      </c>
      <c r="W105" s="43">
        <f t="shared" si="78"/>
        <v>1</v>
      </c>
      <c r="X105" s="43">
        <f t="shared" si="78"/>
        <v>1</v>
      </c>
      <c r="Y105" s="43">
        <f t="shared" si="78"/>
        <v>1</v>
      </c>
      <c r="Z105" s="43">
        <f t="shared" si="78"/>
        <v>1</v>
      </c>
      <c r="AA105" s="43">
        <f t="shared" si="78"/>
        <v>1</v>
      </c>
      <c r="AB105" s="43">
        <f t="shared" si="79"/>
        <v>1</v>
      </c>
      <c r="AC105" s="43">
        <f t="shared" si="79"/>
        <v>1</v>
      </c>
      <c r="AD105" s="43">
        <f t="shared" si="79"/>
        <v>1</v>
      </c>
      <c r="AE105" s="43">
        <f t="shared" si="79"/>
        <v>1</v>
      </c>
      <c r="AF105" s="43">
        <f t="shared" si="79"/>
        <v>1</v>
      </c>
      <c r="AG105" s="43">
        <f t="shared" si="79"/>
        <v>1</v>
      </c>
      <c r="AH105" s="43">
        <f t="shared" si="79"/>
        <v>1</v>
      </c>
      <c r="AI105" s="43">
        <f t="shared" si="79"/>
        <v>1</v>
      </c>
      <c r="AJ105" s="43">
        <f t="shared" si="79"/>
        <v>1</v>
      </c>
      <c r="AK105" s="43">
        <f t="shared" si="79"/>
        <v>1</v>
      </c>
      <c r="AL105" s="43">
        <f t="shared" si="80"/>
        <v>1</v>
      </c>
      <c r="AM105" s="43">
        <f t="shared" si="80"/>
        <v>1</v>
      </c>
      <c r="AN105" s="43">
        <f t="shared" si="80"/>
        <v>1</v>
      </c>
      <c r="AO105" s="43">
        <f t="shared" si="80"/>
        <v>1</v>
      </c>
      <c r="AP105" s="43">
        <f t="shared" si="80"/>
        <v>1</v>
      </c>
      <c r="AQ105" s="43">
        <f t="shared" si="80"/>
        <v>1</v>
      </c>
      <c r="AR105" s="43">
        <f t="shared" si="80"/>
        <v>1</v>
      </c>
      <c r="AS105" s="43">
        <f t="shared" si="80"/>
        <v>1</v>
      </c>
      <c r="AT105" s="43">
        <f t="shared" si="80"/>
        <v>1</v>
      </c>
      <c r="AU105" s="43">
        <f t="shared" si="80"/>
        <v>1</v>
      </c>
      <c r="AV105" s="43">
        <f t="shared" si="81"/>
        <v>1</v>
      </c>
      <c r="AW105" s="43">
        <f t="shared" si="81"/>
        <v>1</v>
      </c>
      <c r="AX105" s="43">
        <f t="shared" si="81"/>
        <v>1</v>
      </c>
      <c r="AY105" s="43">
        <f t="shared" si="81"/>
        <v>1</v>
      </c>
      <c r="AZ105" s="43">
        <f t="shared" si="81"/>
        <v>1</v>
      </c>
      <c r="BA105" s="43">
        <f t="shared" si="81"/>
        <v>1</v>
      </c>
      <c r="BB105" s="43">
        <f t="shared" si="81"/>
        <v>1</v>
      </c>
      <c r="BC105" s="43">
        <f t="shared" si="81"/>
        <v>1</v>
      </c>
      <c r="BD105" s="43">
        <f t="shared" si="81"/>
        <v>1</v>
      </c>
      <c r="BE105" s="43">
        <f t="shared" si="81"/>
        <v>1</v>
      </c>
      <c r="BF105" s="43">
        <f t="shared" si="82"/>
        <v>1</v>
      </c>
      <c r="BG105" s="43">
        <f t="shared" si="82"/>
        <v>1</v>
      </c>
      <c r="BH105" s="43">
        <f t="shared" si="82"/>
        <v>1</v>
      </c>
      <c r="BI105" s="43">
        <f t="shared" si="82"/>
        <v>1</v>
      </c>
      <c r="BJ105" s="43">
        <f t="shared" si="82"/>
        <v>1</v>
      </c>
      <c r="BK105" s="43">
        <f t="shared" si="82"/>
        <v>1</v>
      </c>
      <c r="BL105" s="43">
        <f t="shared" si="82"/>
        <v>1</v>
      </c>
      <c r="BM105" s="43">
        <f t="shared" si="82"/>
        <v>1</v>
      </c>
      <c r="BN105" s="43">
        <f t="shared" si="82"/>
        <v>1</v>
      </c>
      <c r="BO105" s="43">
        <f t="shared" si="82"/>
        <v>1</v>
      </c>
      <c r="BP105" s="43">
        <f t="shared" si="83"/>
        <v>1</v>
      </c>
      <c r="BQ105" s="43">
        <f t="shared" si="83"/>
        <v>1</v>
      </c>
      <c r="BR105" s="43">
        <f t="shared" si="83"/>
        <v>0</v>
      </c>
      <c r="BS105" s="43">
        <f t="shared" si="83"/>
        <v>0</v>
      </c>
      <c r="BT105" s="43">
        <f t="shared" si="83"/>
        <v>0</v>
      </c>
      <c r="BU105" s="43">
        <f t="shared" si="83"/>
        <v>0</v>
      </c>
      <c r="BV105" s="43">
        <f t="shared" si="83"/>
        <v>0</v>
      </c>
      <c r="BW105" s="43">
        <f t="shared" si="83"/>
        <v>0</v>
      </c>
      <c r="BX105" s="43">
        <f t="shared" si="83"/>
        <v>0</v>
      </c>
      <c r="BY105" s="43">
        <f t="shared" si="83"/>
        <v>0</v>
      </c>
      <c r="BZ105" s="43">
        <f t="shared" si="83"/>
        <v>0</v>
      </c>
      <c r="CA105" s="43">
        <f t="shared" si="83"/>
        <v>0</v>
      </c>
    </row>
    <row r="106" spans="1:79" x14ac:dyDescent="0.25">
      <c r="A106" s="35">
        <v>89</v>
      </c>
      <c r="B106" s="8"/>
      <c r="C106" s="8"/>
      <c r="D106" s="8"/>
      <c r="E106" s="7"/>
      <c r="F106" s="49"/>
      <c r="G106" s="5"/>
      <c r="H106" s="10">
        <f t="shared" si="61"/>
        <v>0</v>
      </c>
      <c r="I106" s="49" t="e">
        <f>VLOOKUP(B106,База!$B$8:$I$52,3,FALSE)*60</f>
        <v>#N/A</v>
      </c>
      <c r="J106" s="35" t="e">
        <f>VLOOKUP(B106,База!$B$8:$I$52,7,FALSE)*I106</f>
        <v>#N/A</v>
      </c>
      <c r="K106" s="35" t="e">
        <f>VLOOKUP(B106,База!$B$8:$I$52,6,FALSE)</f>
        <v>#N/A</v>
      </c>
      <c r="L106" s="35" t="e">
        <f t="shared" si="59"/>
        <v>#N/A</v>
      </c>
      <c r="M106" s="9">
        <f t="shared" si="60"/>
        <v>0</v>
      </c>
      <c r="N106" s="53">
        <f t="shared" si="74"/>
        <v>612.23658315042314</v>
      </c>
      <c r="O106" s="53">
        <f t="shared" si="75"/>
        <v>612.23658315042314</v>
      </c>
      <c r="P106" s="53">
        <f t="shared" si="76"/>
        <v>0</v>
      </c>
      <c r="Q106" s="53">
        <f t="shared" si="77"/>
        <v>612.23658315042314</v>
      </c>
      <c r="R106" s="43">
        <f t="shared" si="78"/>
        <v>1</v>
      </c>
      <c r="S106" s="43">
        <f t="shared" si="78"/>
        <v>1</v>
      </c>
      <c r="T106" s="43">
        <f t="shared" si="78"/>
        <v>1</v>
      </c>
      <c r="U106" s="43">
        <f t="shared" si="78"/>
        <v>1</v>
      </c>
      <c r="V106" s="43">
        <f t="shared" si="78"/>
        <v>1</v>
      </c>
      <c r="W106" s="43">
        <f t="shared" si="78"/>
        <v>1</v>
      </c>
      <c r="X106" s="43">
        <f t="shared" si="78"/>
        <v>1</v>
      </c>
      <c r="Y106" s="43">
        <f t="shared" si="78"/>
        <v>1</v>
      </c>
      <c r="Z106" s="43">
        <f t="shared" si="78"/>
        <v>1</v>
      </c>
      <c r="AA106" s="43">
        <f t="shared" si="78"/>
        <v>1</v>
      </c>
      <c r="AB106" s="43">
        <f t="shared" si="79"/>
        <v>1</v>
      </c>
      <c r="AC106" s="43">
        <f t="shared" si="79"/>
        <v>1</v>
      </c>
      <c r="AD106" s="43">
        <f t="shared" si="79"/>
        <v>1</v>
      </c>
      <c r="AE106" s="43">
        <f t="shared" si="79"/>
        <v>1</v>
      </c>
      <c r="AF106" s="43">
        <f t="shared" si="79"/>
        <v>1</v>
      </c>
      <c r="AG106" s="43">
        <f t="shared" si="79"/>
        <v>1</v>
      </c>
      <c r="AH106" s="43">
        <f t="shared" si="79"/>
        <v>1</v>
      </c>
      <c r="AI106" s="43">
        <f t="shared" si="79"/>
        <v>1</v>
      </c>
      <c r="AJ106" s="43">
        <f t="shared" si="79"/>
        <v>1</v>
      </c>
      <c r="AK106" s="43">
        <f t="shared" si="79"/>
        <v>1</v>
      </c>
      <c r="AL106" s="43">
        <f t="shared" si="80"/>
        <v>1</v>
      </c>
      <c r="AM106" s="43">
        <f t="shared" si="80"/>
        <v>1</v>
      </c>
      <c r="AN106" s="43">
        <f t="shared" si="80"/>
        <v>1</v>
      </c>
      <c r="AO106" s="43">
        <f t="shared" si="80"/>
        <v>1</v>
      </c>
      <c r="AP106" s="43">
        <f t="shared" si="80"/>
        <v>1</v>
      </c>
      <c r="AQ106" s="43">
        <f t="shared" si="80"/>
        <v>1</v>
      </c>
      <c r="AR106" s="43">
        <f t="shared" si="80"/>
        <v>1</v>
      </c>
      <c r="AS106" s="43">
        <f t="shared" si="80"/>
        <v>1</v>
      </c>
      <c r="AT106" s="43">
        <f t="shared" si="80"/>
        <v>1</v>
      </c>
      <c r="AU106" s="43">
        <f t="shared" si="80"/>
        <v>1</v>
      </c>
      <c r="AV106" s="43">
        <f t="shared" si="81"/>
        <v>1</v>
      </c>
      <c r="AW106" s="43">
        <f t="shared" si="81"/>
        <v>1</v>
      </c>
      <c r="AX106" s="43">
        <f t="shared" si="81"/>
        <v>1</v>
      </c>
      <c r="AY106" s="43">
        <f t="shared" si="81"/>
        <v>1</v>
      </c>
      <c r="AZ106" s="43">
        <f t="shared" si="81"/>
        <v>1</v>
      </c>
      <c r="BA106" s="43">
        <f t="shared" si="81"/>
        <v>1</v>
      </c>
      <c r="BB106" s="43">
        <f t="shared" si="81"/>
        <v>1</v>
      </c>
      <c r="BC106" s="43">
        <f t="shared" si="81"/>
        <v>1</v>
      </c>
      <c r="BD106" s="43">
        <f t="shared" si="81"/>
        <v>1</v>
      </c>
      <c r="BE106" s="43">
        <f t="shared" si="81"/>
        <v>1</v>
      </c>
      <c r="BF106" s="43">
        <f t="shared" si="82"/>
        <v>1</v>
      </c>
      <c r="BG106" s="43">
        <f t="shared" si="82"/>
        <v>1</v>
      </c>
      <c r="BH106" s="43">
        <f t="shared" si="82"/>
        <v>1</v>
      </c>
      <c r="BI106" s="43">
        <f t="shared" si="82"/>
        <v>1</v>
      </c>
      <c r="BJ106" s="43">
        <f t="shared" si="82"/>
        <v>1</v>
      </c>
      <c r="BK106" s="43">
        <f t="shared" si="82"/>
        <v>1</v>
      </c>
      <c r="BL106" s="43">
        <f t="shared" si="82"/>
        <v>1</v>
      </c>
      <c r="BM106" s="43">
        <f t="shared" si="82"/>
        <v>1</v>
      </c>
      <c r="BN106" s="43">
        <f t="shared" si="82"/>
        <v>1</v>
      </c>
      <c r="BO106" s="43">
        <f t="shared" si="82"/>
        <v>1</v>
      </c>
      <c r="BP106" s="43">
        <f t="shared" si="83"/>
        <v>1</v>
      </c>
      <c r="BQ106" s="43">
        <f t="shared" si="83"/>
        <v>1</v>
      </c>
      <c r="BR106" s="43">
        <f t="shared" si="83"/>
        <v>0</v>
      </c>
      <c r="BS106" s="43">
        <f t="shared" si="83"/>
        <v>0</v>
      </c>
      <c r="BT106" s="43">
        <f t="shared" si="83"/>
        <v>0</v>
      </c>
      <c r="BU106" s="43">
        <f t="shared" si="83"/>
        <v>0</v>
      </c>
      <c r="BV106" s="43">
        <f t="shared" si="83"/>
        <v>0</v>
      </c>
      <c r="BW106" s="43">
        <f t="shared" si="83"/>
        <v>0</v>
      </c>
      <c r="BX106" s="43">
        <f t="shared" si="83"/>
        <v>0</v>
      </c>
      <c r="BY106" s="43">
        <f t="shared" si="83"/>
        <v>0</v>
      </c>
      <c r="BZ106" s="43">
        <f t="shared" si="83"/>
        <v>0</v>
      </c>
      <c r="CA106" s="43">
        <f t="shared" si="83"/>
        <v>0</v>
      </c>
    </row>
    <row r="107" spans="1:79" x14ac:dyDescent="0.25">
      <c r="A107" s="35">
        <v>90</v>
      </c>
      <c r="B107" s="8"/>
      <c r="C107" s="8"/>
      <c r="D107" s="8"/>
      <c r="E107" s="7"/>
      <c r="F107" s="49"/>
      <c r="G107" s="5"/>
      <c r="H107" s="10">
        <f t="shared" si="61"/>
        <v>0</v>
      </c>
      <c r="I107" s="49" t="e">
        <f>VLOOKUP(B107,База!$B$8:$I$52,3,FALSE)*60</f>
        <v>#N/A</v>
      </c>
      <c r="J107" s="35" t="e">
        <f>VLOOKUP(B107,База!$B$8:$I$52,7,FALSE)*I107</f>
        <v>#N/A</v>
      </c>
      <c r="K107" s="35" t="e">
        <f>VLOOKUP(B107,База!$B$8:$I$52,6,FALSE)</f>
        <v>#N/A</v>
      </c>
      <c r="L107" s="35" t="e">
        <f t="shared" si="59"/>
        <v>#N/A</v>
      </c>
      <c r="M107" s="9">
        <f t="shared" si="60"/>
        <v>0</v>
      </c>
      <c r="N107" s="53">
        <f t="shared" si="74"/>
        <v>612.23658315042314</v>
      </c>
      <c r="O107" s="53">
        <f t="shared" si="75"/>
        <v>612.23658315042314</v>
      </c>
      <c r="P107" s="53">
        <f t="shared" si="76"/>
        <v>0</v>
      </c>
      <c r="Q107" s="53">
        <f t="shared" si="77"/>
        <v>612.23658315042314</v>
      </c>
      <c r="R107" s="43">
        <f t="shared" si="78"/>
        <v>1</v>
      </c>
      <c r="S107" s="43">
        <f t="shared" si="78"/>
        <v>1</v>
      </c>
      <c r="T107" s="43">
        <f t="shared" si="78"/>
        <v>1</v>
      </c>
      <c r="U107" s="43">
        <f t="shared" si="78"/>
        <v>1</v>
      </c>
      <c r="V107" s="43">
        <f t="shared" si="78"/>
        <v>1</v>
      </c>
      <c r="W107" s="43">
        <f t="shared" si="78"/>
        <v>1</v>
      </c>
      <c r="X107" s="43">
        <f t="shared" si="78"/>
        <v>1</v>
      </c>
      <c r="Y107" s="43">
        <f t="shared" si="78"/>
        <v>1</v>
      </c>
      <c r="Z107" s="43">
        <f t="shared" si="78"/>
        <v>1</v>
      </c>
      <c r="AA107" s="43">
        <f t="shared" si="78"/>
        <v>1</v>
      </c>
      <c r="AB107" s="43">
        <f t="shared" si="79"/>
        <v>1</v>
      </c>
      <c r="AC107" s="43">
        <f t="shared" si="79"/>
        <v>1</v>
      </c>
      <c r="AD107" s="43">
        <f t="shared" si="79"/>
        <v>1</v>
      </c>
      <c r="AE107" s="43">
        <f t="shared" si="79"/>
        <v>1</v>
      </c>
      <c r="AF107" s="43">
        <f t="shared" si="79"/>
        <v>1</v>
      </c>
      <c r="AG107" s="43">
        <f t="shared" si="79"/>
        <v>1</v>
      </c>
      <c r="AH107" s="43">
        <f t="shared" si="79"/>
        <v>1</v>
      </c>
      <c r="AI107" s="43">
        <f t="shared" si="79"/>
        <v>1</v>
      </c>
      <c r="AJ107" s="43">
        <f t="shared" si="79"/>
        <v>1</v>
      </c>
      <c r="AK107" s="43">
        <f t="shared" si="79"/>
        <v>1</v>
      </c>
      <c r="AL107" s="43">
        <f t="shared" si="80"/>
        <v>1</v>
      </c>
      <c r="AM107" s="43">
        <f t="shared" si="80"/>
        <v>1</v>
      </c>
      <c r="AN107" s="43">
        <f t="shared" si="80"/>
        <v>1</v>
      </c>
      <c r="AO107" s="43">
        <f t="shared" si="80"/>
        <v>1</v>
      </c>
      <c r="AP107" s="43">
        <f t="shared" si="80"/>
        <v>1</v>
      </c>
      <c r="AQ107" s="43">
        <f t="shared" si="80"/>
        <v>1</v>
      </c>
      <c r="AR107" s="43">
        <f t="shared" si="80"/>
        <v>1</v>
      </c>
      <c r="AS107" s="43">
        <f t="shared" si="80"/>
        <v>1</v>
      </c>
      <c r="AT107" s="43">
        <f t="shared" si="80"/>
        <v>1</v>
      </c>
      <c r="AU107" s="43">
        <f t="shared" si="80"/>
        <v>1</v>
      </c>
      <c r="AV107" s="43">
        <f t="shared" si="81"/>
        <v>1</v>
      </c>
      <c r="AW107" s="43">
        <f t="shared" si="81"/>
        <v>1</v>
      </c>
      <c r="AX107" s="43">
        <f t="shared" si="81"/>
        <v>1</v>
      </c>
      <c r="AY107" s="43">
        <f t="shared" si="81"/>
        <v>1</v>
      </c>
      <c r="AZ107" s="43">
        <f t="shared" si="81"/>
        <v>1</v>
      </c>
      <c r="BA107" s="43">
        <f t="shared" si="81"/>
        <v>1</v>
      </c>
      <c r="BB107" s="43">
        <f t="shared" si="81"/>
        <v>1</v>
      </c>
      <c r="BC107" s="43">
        <f t="shared" si="81"/>
        <v>1</v>
      </c>
      <c r="BD107" s="43">
        <f t="shared" si="81"/>
        <v>1</v>
      </c>
      <c r="BE107" s="43">
        <f t="shared" si="81"/>
        <v>1</v>
      </c>
      <c r="BF107" s="43">
        <f t="shared" si="82"/>
        <v>1</v>
      </c>
      <c r="BG107" s="43">
        <f t="shared" si="82"/>
        <v>1</v>
      </c>
      <c r="BH107" s="43">
        <f t="shared" si="82"/>
        <v>1</v>
      </c>
      <c r="BI107" s="43">
        <f t="shared" si="82"/>
        <v>1</v>
      </c>
      <c r="BJ107" s="43">
        <f t="shared" si="82"/>
        <v>1</v>
      </c>
      <c r="BK107" s="43">
        <f t="shared" si="82"/>
        <v>1</v>
      </c>
      <c r="BL107" s="43">
        <f t="shared" si="82"/>
        <v>1</v>
      </c>
      <c r="BM107" s="43">
        <f t="shared" si="82"/>
        <v>1</v>
      </c>
      <c r="BN107" s="43">
        <f t="shared" si="82"/>
        <v>1</v>
      </c>
      <c r="BO107" s="43">
        <f t="shared" si="82"/>
        <v>1</v>
      </c>
      <c r="BP107" s="43">
        <f t="shared" si="83"/>
        <v>1</v>
      </c>
      <c r="BQ107" s="43">
        <f t="shared" si="83"/>
        <v>1</v>
      </c>
      <c r="BR107" s="43">
        <f t="shared" si="83"/>
        <v>0</v>
      </c>
      <c r="BS107" s="43">
        <f t="shared" si="83"/>
        <v>0</v>
      </c>
      <c r="BT107" s="43">
        <f t="shared" si="83"/>
        <v>0</v>
      </c>
      <c r="BU107" s="43">
        <f t="shared" si="83"/>
        <v>0</v>
      </c>
      <c r="BV107" s="43">
        <f t="shared" si="83"/>
        <v>0</v>
      </c>
      <c r="BW107" s="43">
        <f t="shared" si="83"/>
        <v>0</v>
      </c>
      <c r="BX107" s="43">
        <f t="shared" si="83"/>
        <v>0</v>
      </c>
      <c r="BY107" s="43">
        <f t="shared" si="83"/>
        <v>0</v>
      </c>
      <c r="BZ107" s="43">
        <f t="shared" si="83"/>
        <v>0</v>
      </c>
      <c r="CA107" s="43">
        <f t="shared" si="83"/>
        <v>0</v>
      </c>
    </row>
    <row r="108" spans="1:79" x14ac:dyDescent="0.25">
      <c r="A108" s="35">
        <v>91</v>
      </c>
      <c r="B108" s="8"/>
      <c r="C108" s="8"/>
      <c r="D108" s="8"/>
      <c r="E108" s="7"/>
      <c r="F108" s="49"/>
      <c r="G108" s="5"/>
      <c r="H108" s="10">
        <f t="shared" si="61"/>
        <v>0</v>
      </c>
      <c r="I108" s="49" t="e">
        <f>VLOOKUP(B108,База!$B$8:$I$52,3,FALSE)*60</f>
        <v>#N/A</v>
      </c>
      <c r="J108" s="35" t="e">
        <f>VLOOKUP(B108,База!$B$8:$I$52,7,FALSE)*I108</f>
        <v>#N/A</v>
      </c>
      <c r="K108" s="35" t="e">
        <f>VLOOKUP(B108,База!$B$8:$I$52,6,FALSE)</f>
        <v>#N/A</v>
      </c>
      <c r="L108" s="35" t="e">
        <f t="shared" ref="L108:L139" si="84">I108*12</f>
        <v>#N/A</v>
      </c>
      <c r="M108" s="9">
        <f t="shared" ref="M108:M139" si="85">H108</f>
        <v>0</v>
      </c>
      <c r="N108" s="53">
        <f t="shared" si="74"/>
        <v>612.23658315042314</v>
      </c>
      <c r="O108" s="53">
        <f t="shared" si="75"/>
        <v>612.23658315042314</v>
      </c>
      <c r="P108" s="53">
        <f t="shared" si="76"/>
        <v>0</v>
      </c>
      <c r="Q108" s="53">
        <f t="shared" si="77"/>
        <v>612.23658315042314</v>
      </c>
      <c r="R108" s="43">
        <f t="shared" si="78"/>
        <v>1</v>
      </c>
      <c r="S108" s="43">
        <f t="shared" si="78"/>
        <v>1</v>
      </c>
      <c r="T108" s="43">
        <f t="shared" si="78"/>
        <v>1</v>
      </c>
      <c r="U108" s="43">
        <f t="shared" si="78"/>
        <v>1</v>
      </c>
      <c r="V108" s="43">
        <f t="shared" si="78"/>
        <v>1</v>
      </c>
      <c r="W108" s="43">
        <f t="shared" si="78"/>
        <v>1</v>
      </c>
      <c r="X108" s="43">
        <f t="shared" si="78"/>
        <v>1</v>
      </c>
      <c r="Y108" s="43">
        <f t="shared" si="78"/>
        <v>1</v>
      </c>
      <c r="Z108" s="43">
        <f t="shared" si="78"/>
        <v>1</v>
      </c>
      <c r="AA108" s="43">
        <f t="shared" si="78"/>
        <v>1</v>
      </c>
      <c r="AB108" s="43">
        <f t="shared" si="79"/>
        <v>1</v>
      </c>
      <c r="AC108" s="43">
        <f t="shared" si="79"/>
        <v>1</v>
      </c>
      <c r="AD108" s="43">
        <f t="shared" si="79"/>
        <v>1</v>
      </c>
      <c r="AE108" s="43">
        <f t="shared" si="79"/>
        <v>1</v>
      </c>
      <c r="AF108" s="43">
        <f t="shared" si="79"/>
        <v>1</v>
      </c>
      <c r="AG108" s="43">
        <f t="shared" si="79"/>
        <v>1</v>
      </c>
      <c r="AH108" s="43">
        <f t="shared" si="79"/>
        <v>1</v>
      </c>
      <c r="AI108" s="43">
        <f t="shared" si="79"/>
        <v>1</v>
      </c>
      <c r="AJ108" s="43">
        <f t="shared" si="79"/>
        <v>1</v>
      </c>
      <c r="AK108" s="43">
        <f t="shared" si="79"/>
        <v>1</v>
      </c>
      <c r="AL108" s="43">
        <f t="shared" si="80"/>
        <v>1</v>
      </c>
      <c r="AM108" s="43">
        <f t="shared" si="80"/>
        <v>1</v>
      </c>
      <c r="AN108" s="43">
        <f t="shared" si="80"/>
        <v>1</v>
      </c>
      <c r="AO108" s="43">
        <f t="shared" si="80"/>
        <v>1</v>
      </c>
      <c r="AP108" s="43">
        <f t="shared" si="80"/>
        <v>1</v>
      </c>
      <c r="AQ108" s="43">
        <f t="shared" si="80"/>
        <v>1</v>
      </c>
      <c r="AR108" s="43">
        <f t="shared" si="80"/>
        <v>1</v>
      </c>
      <c r="AS108" s="43">
        <f t="shared" si="80"/>
        <v>1</v>
      </c>
      <c r="AT108" s="43">
        <f t="shared" si="80"/>
        <v>1</v>
      </c>
      <c r="AU108" s="43">
        <f t="shared" si="80"/>
        <v>1</v>
      </c>
      <c r="AV108" s="43">
        <f t="shared" si="81"/>
        <v>1</v>
      </c>
      <c r="AW108" s="43">
        <f t="shared" si="81"/>
        <v>1</v>
      </c>
      <c r="AX108" s="43">
        <f t="shared" si="81"/>
        <v>1</v>
      </c>
      <c r="AY108" s="43">
        <f t="shared" si="81"/>
        <v>1</v>
      </c>
      <c r="AZ108" s="43">
        <f t="shared" si="81"/>
        <v>1</v>
      </c>
      <c r="BA108" s="43">
        <f t="shared" si="81"/>
        <v>1</v>
      </c>
      <c r="BB108" s="43">
        <f t="shared" si="81"/>
        <v>1</v>
      </c>
      <c r="BC108" s="43">
        <f t="shared" si="81"/>
        <v>1</v>
      </c>
      <c r="BD108" s="43">
        <f t="shared" si="81"/>
        <v>1</v>
      </c>
      <c r="BE108" s="43">
        <f t="shared" si="81"/>
        <v>1</v>
      </c>
      <c r="BF108" s="43">
        <f t="shared" si="82"/>
        <v>1</v>
      </c>
      <c r="BG108" s="43">
        <f t="shared" si="82"/>
        <v>1</v>
      </c>
      <c r="BH108" s="43">
        <f t="shared" si="82"/>
        <v>1</v>
      </c>
      <c r="BI108" s="43">
        <f t="shared" si="82"/>
        <v>1</v>
      </c>
      <c r="BJ108" s="43">
        <f t="shared" si="82"/>
        <v>1</v>
      </c>
      <c r="BK108" s="43">
        <f t="shared" si="82"/>
        <v>1</v>
      </c>
      <c r="BL108" s="43">
        <f t="shared" si="82"/>
        <v>1</v>
      </c>
      <c r="BM108" s="43">
        <f t="shared" si="82"/>
        <v>1</v>
      </c>
      <c r="BN108" s="43">
        <f t="shared" si="82"/>
        <v>1</v>
      </c>
      <c r="BO108" s="43">
        <f t="shared" si="82"/>
        <v>1</v>
      </c>
      <c r="BP108" s="43">
        <f t="shared" si="83"/>
        <v>1</v>
      </c>
      <c r="BQ108" s="43">
        <f t="shared" si="83"/>
        <v>1</v>
      </c>
      <c r="BR108" s="43">
        <f t="shared" si="83"/>
        <v>0</v>
      </c>
      <c r="BS108" s="43">
        <f t="shared" si="83"/>
        <v>0</v>
      </c>
      <c r="BT108" s="43">
        <f t="shared" si="83"/>
        <v>0</v>
      </c>
      <c r="BU108" s="43">
        <f t="shared" si="83"/>
        <v>0</v>
      </c>
      <c r="BV108" s="43">
        <f t="shared" si="83"/>
        <v>0</v>
      </c>
      <c r="BW108" s="43">
        <f t="shared" si="83"/>
        <v>0</v>
      </c>
      <c r="BX108" s="43">
        <f t="shared" si="83"/>
        <v>0</v>
      </c>
      <c r="BY108" s="43">
        <f t="shared" si="83"/>
        <v>0</v>
      </c>
      <c r="BZ108" s="43">
        <f t="shared" si="83"/>
        <v>0</v>
      </c>
      <c r="CA108" s="43">
        <f t="shared" si="83"/>
        <v>0</v>
      </c>
    </row>
    <row r="109" spans="1:79" x14ac:dyDescent="0.25">
      <c r="A109" s="35">
        <v>92</v>
      </c>
      <c r="B109" s="8"/>
      <c r="C109" s="8"/>
      <c r="D109" s="8"/>
      <c r="E109" s="7"/>
      <c r="F109" s="49"/>
      <c r="G109" s="5"/>
      <c r="H109" s="10">
        <f t="shared" si="61"/>
        <v>0</v>
      </c>
      <c r="I109" s="49" t="e">
        <f>VLOOKUP(B109,База!$B$8:$I$52,3,FALSE)*60</f>
        <v>#N/A</v>
      </c>
      <c r="J109" s="35" t="e">
        <f>VLOOKUP(B109,База!$B$8:$I$52,7,FALSE)*I109</f>
        <v>#N/A</v>
      </c>
      <c r="K109" s="35" t="e">
        <f>VLOOKUP(B109,База!$B$8:$I$52,6,FALSE)</f>
        <v>#N/A</v>
      </c>
      <c r="L109" s="35" t="e">
        <f t="shared" si="84"/>
        <v>#N/A</v>
      </c>
      <c r="M109" s="9">
        <f t="shared" si="85"/>
        <v>0</v>
      </c>
      <c r="N109" s="53">
        <f t="shared" si="74"/>
        <v>612.23658315042314</v>
      </c>
      <c r="O109" s="53">
        <f t="shared" si="75"/>
        <v>612.23658315042314</v>
      </c>
      <c r="P109" s="53">
        <f t="shared" si="76"/>
        <v>0</v>
      </c>
      <c r="Q109" s="53">
        <f t="shared" si="77"/>
        <v>612.23658315042314</v>
      </c>
      <c r="R109" s="43">
        <f t="shared" si="78"/>
        <v>1</v>
      </c>
      <c r="S109" s="43">
        <f t="shared" si="78"/>
        <v>1</v>
      </c>
      <c r="T109" s="43">
        <f t="shared" si="78"/>
        <v>1</v>
      </c>
      <c r="U109" s="43">
        <f t="shared" si="78"/>
        <v>1</v>
      </c>
      <c r="V109" s="43">
        <f t="shared" si="78"/>
        <v>1</v>
      </c>
      <c r="W109" s="43">
        <f t="shared" si="78"/>
        <v>1</v>
      </c>
      <c r="X109" s="43">
        <f t="shared" si="78"/>
        <v>1</v>
      </c>
      <c r="Y109" s="43">
        <f t="shared" si="78"/>
        <v>1</v>
      </c>
      <c r="Z109" s="43">
        <f t="shared" si="78"/>
        <v>1</v>
      </c>
      <c r="AA109" s="43">
        <f t="shared" si="78"/>
        <v>1</v>
      </c>
      <c r="AB109" s="43">
        <f t="shared" si="79"/>
        <v>1</v>
      </c>
      <c r="AC109" s="43">
        <f t="shared" si="79"/>
        <v>1</v>
      </c>
      <c r="AD109" s="43">
        <f t="shared" si="79"/>
        <v>1</v>
      </c>
      <c r="AE109" s="43">
        <f t="shared" si="79"/>
        <v>1</v>
      </c>
      <c r="AF109" s="43">
        <f t="shared" si="79"/>
        <v>1</v>
      </c>
      <c r="AG109" s="43">
        <f t="shared" si="79"/>
        <v>1</v>
      </c>
      <c r="AH109" s="43">
        <f t="shared" si="79"/>
        <v>1</v>
      </c>
      <c r="AI109" s="43">
        <f t="shared" si="79"/>
        <v>1</v>
      </c>
      <c r="AJ109" s="43">
        <f t="shared" si="79"/>
        <v>1</v>
      </c>
      <c r="AK109" s="43">
        <f t="shared" si="79"/>
        <v>1</v>
      </c>
      <c r="AL109" s="43">
        <f t="shared" si="80"/>
        <v>1</v>
      </c>
      <c r="AM109" s="43">
        <f t="shared" si="80"/>
        <v>1</v>
      </c>
      <c r="AN109" s="43">
        <f t="shared" si="80"/>
        <v>1</v>
      </c>
      <c r="AO109" s="43">
        <f t="shared" si="80"/>
        <v>1</v>
      </c>
      <c r="AP109" s="43">
        <f t="shared" si="80"/>
        <v>1</v>
      </c>
      <c r="AQ109" s="43">
        <f t="shared" si="80"/>
        <v>1</v>
      </c>
      <c r="AR109" s="43">
        <f t="shared" si="80"/>
        <v>1</v>
      </c>
      <c r="AS109" s="43">
        <f t="shared" si="80"/>
        <v>1</v>
      </c>
      <c r="AT109" s="43">
        <f t="shared" si="80"/>
        <v>1</v>
      </c>
      <c r="AU109" s="43">
        <f t="shared" si="80"/>
        <v>1</v>
      </c>
      <c r="AV109" s="43">
        <f t="shared" si="81"/>
        <v>1</v>
      </c>
      <c r="AW109" s="43">
        <f t="shared" si="81"/>
        <v>1</v>
      </c>
      <c r="AX109" s="43">
        <f t="shared" si="81"/>
        <v>1</v>
      </c>
      <c r="AY109" s="43">
        <f t="shared" si="81"/>
        <v>1</v>
      </c>
      <c r="AZ109" s="43">
        <f t="shared" si="81"/>
        <v>1</v>
      </c>
      <c r="BA109" s="43">
        <f t="shared" si="81"/>
        <v>1</v>
      </c>
      <c r="BB109" s="43">
        <f t="shared" si="81"/>
        <v>1</v>
      </c>
      <c r="BC109" s="43">
        <f t="shared" si="81"/>
        <v>1</v>
      </c>
      <c r="BD109" s="43">
        <f t="shared" si="81"/>
        <v>1</v>
      </c>
      <c r="BE109" s="43">
        <f t="shared" si="81"/>
        <v>1</v>
      </c>
      <c r="BF109" s="43">
        <f t="shared" si="82"/>
        <v>1</v>
      </c>
      <c r="BG109" s="43">
        <f t="shared" si="82"/>
        <v>1</v>
      </c>
      <c r="BH109" s="43">
        <f t="shared" si="82"/>
        <v>1</v>
      </c>
      <c r="BI109" s="43">
        <f t="shared" si="82"/>
        <v>1</v>
      </c>
      <c r="BJ109" s="43">
        <f t="shared" si="82"/>
        <v>1</v>
      </c>
      <c r="BK109" s="43">
        <f t="shared" si="82"/>
        <v>1</v>
      </c>
      <c r="BL109" s="43">
        <f t="shared" si="82"/>
        <v>1</v>
      </c>
      <c r="BM109" s="43">
        <f t="shared" si="82"/>
        <v>1</v>
      </c>
      <c r="BN109" s="43">
        <f t="shared" si="82"/>
        <v>1</v>
      </c>
      <c r="BO109" s="43">
        <f t="shared" si="82"/>
        <v>1</v>
      </c>
      <c r="BP109" s="43">
        <f t="shared" si="83"/>
        <v>1</v>
      </c>
      <c r="BQ109" s="43">
        <f t="shared" si="83"/>
        <v>1</v>
      </c>
      <c r="BR109" s="43">
        <f t="shared" si="83"/>
        <v>0</v>
      </c>
      <c r="BS109" s="43">
        <f t="shared" si="83"/>
        <v>0</v>
      </c>
      <c r="BT109" s="43">
        <f t="shared" si="83"/>
        <v>0</v>
      </c>
      <c r="BU109" s="43">
        <f t="shared" si="83"/>
        <v>0</v>
      </c>
      <c r="BV109" s="43">
        <f t="shared" si="83"/>
        <v>0</v>
      </c>
      <c r="BW109" s="43">
        <f t="shared" si="83"/>
        <v>0</v>
      </c>
      <c r="BX109" s="43">
        <f t="shared" si="83"/>
        <v>0</v>
      </c>
      <c r="BY109" s="43">
        <f t="shared" si="83"/>
        <v>0</v>
      </c>
      <c r="BZ109" s="43">
        <f t="shared" si="83"/>
        <v>0</v>
      </c>
      <c r="CA109" s="43">
        <f t="shared" si="83"/>
        <v>0</v>
      </c>
    </row>
    <row r="110" spans="1:79" x14ac:dyDescent="0.25">
      <c r="A110" s="35">
        <v>93</v>
      </c>
      <c r="B110" s="8"/>
      <c r="C110" s="8"/>
      <c r="D110" s="8"/>
      <c r="E110" s="7"/>
      <c r="F110" s="49"/>
      <c r="G110" s="5"/>
      <c r="H110" s="10">
        <f t="shared" si="61"/>
        <v>0</v>
      </c>
      <c r="I110" s="49" t="e">
        <f>VLOOKUP(B110,База!$B$8:$I$52,3,FALSE)*60</f>
        <v>#N/A</v>
      </c>
      <c r="J110" s="35" t="e">
        <f>VLOOKUP(B110,База!$B$8:$I$52,7,FALSE)*I110</f>
        <v>#N/A</v>
      </c>
      <c r="K110" s="35" t="e">
        <f>VLOOKUP(B110,База!$B$8:$I$52,6,FALSE)</f>
        <v>#N/A</v>
      </c>
      <c r="L110" s="35" t="e">
        <f t="shared" si="84"/>
        <v>#N/A</v>
      </c>
      <c r="M110" s="9">
        <f t="shared" si="85"/>
        <v>0</v>
      </c>
      <c r="N110" s="53">
        <f t="shared" si="74"/>
        <v>612.23658315042314</v>
      </c>
      <c r="O110" s="53">
        <f t="shared" si="75"/>
        <v>612.23658315042314</v>
      </c>
      <c r="P110" s="53">
        <f t="shared" si="76"/>
        <v>0</v>
      </c>
      <c r="Q110" s="53">
        <f t="shared" si="77"/>
        <v>612.23658315042314</v>
      </c>
      <c r="R110" s="43">
        <f t="shared" si="78"/>
        <v>1</v>
      </c>
      <c r="S110" s="43">
        <f t="shared" si="78"/>
        <v>1</v>
      </c>
      <c r="T110" s="43">
        <f t="shared" si="78"/>
        <v>1</v>
      </c>
      <c r="U110" s="43">
        <f t="shared" si="78"/>
        <v>1</v>
      </c>
      <c r="V110" s="43">
        <f t="shared" si="78"/>
        <v>1</v>
      </c>
      <c r="W110" s="43">
        <f t="shared" si="78"/>
        <v>1</v>
      </c>
      <c r="X110" s="43">
        <f t="shared" si="78"/>
        <v>1</v>
      </c>
      <c r="Y110" s="43">
        <f t="shared" si="78"/>
        <v>1</v>
      </c>
      <c r="Z110" s="43">
        <f t="shared" si="78"/>
        <v>1</v>
      </c>
      <c r="AA110" s="43">
        <f t="shared" si="78"/>
        <v>1</v>
      </c>
      <c r="AB110" s="43">
        <f t="shared" si="79"/>
        <v>1</v>
      </c>
      <c r="AC110" s="43">
        <f t="shared" si="79"/>
        <v>1</v>
      </c>
      <c r="AD110" s="43">
        <f t="shared" si="79"/>
        <v>1</v>
      </c>
      <c r="AE110" s="43">
        <f t="shared" si="79"/>
        <v>1</v>
      </c>
      <c r="AF110" s="43">
        <f t="shared" si="79"/>
        <v>1</v>
      </c>
      <c r="AG110" s="43">
        <f t="shared" si="79"/>
        <v>1</v>
      </c>
      <c r="AH110" s="43">
        <f t="shared" si="79"/>
        <v>1</v>
      </c>
      <c r="AI110" s="43">
        <f t="shared" si="79"/>
        <v>1</v>
      </c>
      <c r="AJ110" s="43">
        <f t="shared" si="79"/>
        <v>1</v>
      </c>
      <c r="AK110" s="43">
        <f t="shared" si="79"/>
        <v>1</v>
      </c>
      <c r="AL110" s="43">
        <f t="shared" si="80"/>
        <v>1</v>
      </c>
      <c r="AM110" s="43">
        <f t="shared" si="80"/>
        <v>1</v>
      </c>
      <c r="AN110" s="43">
        <f t="shared" si="80"/>
        <v>1</v>
      </c>
      <c r="AO110" s="43">
        <f t="shared" si="80"/>
        <v>1</v>
      </c>
      <c r="AP110" s="43">
        <f t="shared" si="80"/>
        <v>1</v>
      </c>
      <c r="AQ110" s="43">
        <f t="shared" si="80"/>
        <v>1</v>
      </c>
      <c r="AR110" s="43">
        <f t="shared" si="80"/>
        <v>1</v>
      </c>
      <c r="AS110" s="43">
        <f t="shared" si="80"/>
        <v>1</v>
      </c>
      <c r="AT110" s="43">
        <f t="shared" si="80"/>
        <v>1</v>
      </c>
      <c r="AU110" s="43">
        <f t="shared" si="80"/>
        <v>1</v>
      </c>
      <c r="AV110" s="43">
        <f t="shared" si="81"/>
        <v>1</v>
      </c>
      <c r="AW110" s="43">
        <f t="shared" si="81"/>
        <v>1</v>
      </c>
      <c r="AX110" s="43">
        <f t="shared" si="81"/>
        <v>1</v>
      </c>
      <c r="AY110" s="43">
        <f t="shared" si="81"/>
        <v>1</v>
      </c>
      <c r="AZ110" s="43">
        <f t="shared" si="81"/>
        <v>1</v>
      </c>
      <c r="BA110" s="43">
        <f t="shared" si="81"/>
        <v>1</v>
      </c>
      <c r="BB110" s="43">
        <f t="shared" si="81"/>
        <v>1</v>
      </c>
      <c r="BC110" s="43">
        <f t="shared" si="81"/>
        <v>1</v>
      </c>
      <c r="BD110" s="43">
        <f t="shared" si="81"/>
        <v>1</v>
      </c>
      <c r="BE110" s="43">
        <f t="shared" si="81"/>
        <v>1</v>
      </c>
      <c r="BF110" s="43">
        <f t="shared" si="82"/>
        <v>1</v>
      </c>
      <c r="BG110" s="43">
        <f t="shared" si="82"/>
        <v>1</v>
      </c>
      <c r="BH110" s="43">
        <f t="shared" si="82"/>
        <v>1</v>
      </c>
      <c r="BI110" s="43">
        <f t="shared" si="82"/>
        <v>1</v>
      </c>
      <c r="BJ110" s="43">
        <f t="shared" si="82"/>
        <v>1</v>
      </c>
      <c r="BK110" s="43">
        <f t="shared" si="82"/>
        <v>1</v>
      </c>
      <c r="BL110" s="43">
        <f t="shared" si="82"/>
        <v>1</v>
      </c>
      <c r="BM110" s="43">
        <f t="shared" si="82"/>
        <v>1</v>
      </c>
      <c r="BN110" s="43">
        <f t="shared" si="82"/>
        <v>1</v>
      </c>
      <c r="BO110" s="43">
        <f t="shared" si="82"/>
        <v>1</v>
      </c>
      <c r="BP110" s="43">
        <f t="shared" si="83"/>
        <v>1</v>
      </c>
      <c r="BQ110" s="43">
        <f t="shared" si="83"/>
        <v>1</v>
      </c>
      <c r="BR110" s="43">
        <f t="shared" si="83"/>
        <v>0</v>
      </c>
      <c r="BS110" s="43">
        <f t="shared" si="83"/>
        <v>0</v>
      </c>
      <c r="BT110" s="43">
        <f t="shared" si="83"/>
        <v>0</v>
      </c>
      <c r="BU110" s="43">
        <f t="shared" si="83"/>
        <v>0</v>
      </c>
      <c r="BV110" s="43">
        <f t="shared" si="83"/>
        <v>0</v>
      </c>
      <c r="BW110" s="43">
        <f t="shared" si="83"/>
        <v>0</v>
      </c>
      <c r="BX110" s="43">
        <f t="shared" si="83"/>
        <v>0</v>
      </c>
      <c r="BY110" s="43">
        <f t="shared" si="83"/>
        <v>0</v>
      </c>
      <c r="BZ110" s="43">
        <f t="shared" si="83"/>
        <v>0</v>
      </c>
      <c r="CA110" s="43">
        <f t="shared" si="83"/>
        <v>0</v>
      </c>
    </row>
    <row r="111" spans="1:79" x14ac:dyDescent="0.25">
      <c r="A111" s="35">
        <v>94</v>
      </c>
      <c r="B111" s="8"/>
      <c r="C111" s="8"/>
      <c r="D111" s="8"/>
      <c r="E111" s="7"/>
      <c r="F111" s="49"/>
      <c r="G111" s="5"/>
      <c r="H111" s="10">
        <f t="shared" si="61"/>
        <v>0</v>
      </c>
      <c r="I111" s="49" t="e">
        <f>VLOOKUP(B111,База!$B$8:$I$52,3,FALSE)*60</f>
        <v>#N/A</v>
      </c>
      <c r="J111" s="35" t="e">
        <f>VLOOKUP(B111,База!$B$8:$I$52,7,FALSE)*I111</f>
        <v>#N/A</v>
      </c>
      <c r="K111" s="35" t="e">
        <f>VLOOKUP(B111,База!$B$8:$I$52,6,FALSE)</f>
        <v>#N/A</v>
      </c>
      <c r="L111" s="35" t="e">
        <f t="shared" si="84"/>
        <v>#N/A</v>
      </c>
      <c r="M111" s="9">
        <f t="shared" si="85"/>
        <v>0</v>
      </c>
      <c r="N111" s="53">
        <f t="shared" si="74"/>
        <v>612.23658315042314</v>
      </c>
      <c r="O111" s="53">
        <f t="shared" si="75"/>
        <v>612.23658315042314</v>
      </c>
      <c r="P111" s="53">
        <f t="shared" si="76"/>
        <v>0</v>
      </c>
      <c r="Q111" s="53">
        <f t="shared" si="77"/>
        <v>612.23658315042314</v>
      </c>
      <c r="R111" s="43">
        <f t="shared" si="78"/>
        <v>1</v>
      </c>
      <c r="S111" s="43">
        <f t="shared" si="78"/>
        <v>1</v>
      </c>
      <c r="T111" s="43">
        <f t="shared" si="78"/>
        <v>1</v>
      </c>
      <c r="U111" s="43">
        <f t="shared" si="78"/>
        <v>1</v>
      </c>
      <c r="V111" s="43">
        <f t="shared" si="78"/>
        <v>1</v>
      </c>
      <c r="W111" s="43">
        <f t="shared" si="78"/>
        <v>1</v>
      </c>
      <c r="X111" s="43">
        <f t="shared" si="78"/>
        <v>1</v>
      </c>
      <c r="Y111" s="43">
        <f t="shared" si="78"/>
        <v>1</v>
      </c>
      <c r="Z111" s="43">
        <f t="shared" si="78"/>
        <v>1</v>
      </c>
      <c r="AA111" s="43">
        <f t="shared" si="78"/>
        <v>1</v>
      </c>
      <c r="AB111" s="43">
        <f t="shared" si="79"/>
        <v>1</v>
      </c>
      <c r="AC111" s="43">
        <f t="shared" si="79"/>
        <v>1</v>
      </c>
      <c r="AD111" s="43">
        <f t="shared" si="79"/>
        <v>1</v>
      </c>
      <c r="AE111" s="43">
        <f t="shared" si="79"/>
        <v>1</v>
      </c>
      <c r="AF111" s="43">
        <f t="shared" si="79"/>
        <v>1</v>
      </c>
      <c r="AG111" s="43">
        <f t="shared" si="79"/>
        <v>1</v>
      </c>
      <c r="AH111" s="43">
        <f t="shared" si="79"/>
        <v>1</v>
      </c>
      <c r="AI111" s="43">
        <f t="shared" si="79"/>
        <v>1</v>
      </c>
      <c r="AJ111" s="43">
        <f t="shared" si="79"/>
        <v>1</v>
      </c>
      <c r="AK111" s="43">
        <f t="shared" si="79"/>
        <v>1</v>
      </c>
      <c r="AL111" s="43">
        <f t="shared" si="80"/>
        <v>1</v>
      </c>
      <c r="AM111" s="43">
        <f t="shared" si="80"/>
        <v>1</v>
      </c>
      <c r="AN111" s="43">
        <f t="shared" si="80"/>
        <v>1</v>
      </c>
      <c r="AO111" s="43">
        <f t="shared" si="80"/>
        <v>1</v>
      </c>
      <c r="AP111" s="43">
        <f t="shared" si="80"/>
        <v>1</v>
      </c>
      <c r="AQ111" s="43">
        <f t="shared" si="80"/>
        <v>1</v>
      </c>
      <c r="AR111" s="43">
        <f t="shared" si="80"/>
        <v>1</v>
      </c>
      <c r="AS111" s="43">
        <f t="shared" si="80"/>
        <v>1</v>
      </c>
      <c r="AT111" s="43">
        <f t="shared" si="80"/>
        <v>1</v>
      </c>
      <c r="AU111" s="43">
        <f t="shared" si="80"/>
        <v>1</v>
      </c>
      <c r="AV111" s="43">
        <f t="shared" si="81"/>
        <v>1</v>
      </c>
      <c r="AW111" s="43">
        <f t="shared" si="81"/>
        <v>1</v>
      </c>
      <c r="AX111" s="43">
        <f t="shared" si="81"/>
        <v>1</v>
      </c>
      <c r="AY111" s="43">
        <f t="shared" si="81"/>
        <v>1</v>
      </c>
      <c r="AZ111" s="43">
        <f t="shared" si="81"/>
        <v>1</v>
      </c>
      <c r="BA111" s="43">
        <f t="shared" si="81"/>
        <v>1</v>
      </c>
      <c r="BB111" s="43">
        <f t="shared" si="81"/>
        <v>1</v>
      </c>
      <c r="BC111" s="43">
        <f t="shared" si="81"/>
        <v>1</v>
      </c>
      <c r="BD111" s="43">
        <f t="shared" si="81"/>
        <v>1</v>
      </c>
      <c r="BE111" s="43">
        <f t="shared" si="81"/>
        <v>1</v>
      </c>
      <c r="BF111" s="43">
        <f t="shared" si="82"/>
        <v>1</v>
      </c>
      <c r="BG111" s="43">
        <f t="shared" si="82"/>
        <v>1</v>
      </c>
      <c r="BH111" s="43">
        <f t="shared" si="82"/>
        <v>1</v>
      </c>
      <c r="BI111" s="43">
        <f t="shared" si="82"/>
        <v>1</v>
      </c>
      <c r="BJ111" s="43">
        <f t="shared" si="82"/>
        <v>1</v>
      </c>
      <c r="BK111" s="43">
        <f t="shared" si="82"/>
        <v>1</v>
      </c>
      <c r="BL111" s="43">
        <f t="shared" si="82"/>
        <v>1</v>
      </c>
      <c r="BM111" s="43">
        <f t="shared" si="82"/>
        <v>1</v>
      </c>
      <c r="BN111" s="43">
        <f t="shared" si="82"/>
        <v>1</v>
      </c>
      <c r="BO111" s="43">
        <f t="shared" si="82"/>
        <v>1</v>
      </c>
      <c r="BP111" s="43">
        <f t="shared" si="83"/>
        <v>1</v>
      </c>
      <c r="BQ111" s="43">
        <f t="shared" si="83"/>
        <v>1</v>
      </c>
      <c r="BR111" s="43">
        <f t="shared" si="83"/>
        <v>0</v>
      </c>
      <c r="BS111" s="43">
        <f t="shared" si="83"/>
        <v>0</v>
      </c>
      <c r="BT111" s="43">
        <f t="shared" si="83"/>
        <v>0</v>
      </c>
      <c r="BU111" s="43">
        <f t="shared" si="83"/>
        <v>0</v>
      </c>
      <c r="BV111" s="43">
        <f t="shared" si="83"/>
        <v>0</v>
      </c>
      <c r="BW111" s="43">
        <f t="shared" si="83"/>
        <v>0</v>
      </c>
      <c r="BX111" s="43">
        <f t="shared" si="83"/>
        <v>0</v>
      </c>
      <c r="BY111" s="43">
        <f t="shared" si="83"/>
        <v>0</v>
      </c>
      <c r="BZ111" s="43">
        <f t="shared" si="83"/>
        <v>0</v>
      </c>
      <c r="CA111" s="43">
        <f t="shared" si="83"/>
        <v>0</v>
      </c>
    </row>
    <row r="112" spans="1:79" x14ac:dyDescent="0.25">
      <c r="A112" s="35">
        <v>95</v>
      </c>
      <c r="B112" s="8"/>
      <c r="C112" s="8"/>
      <c r="D112" s="8"/>
      <c r="E112" s="7"/>
      <c r="F112" s="49"/>
      <c r="G112" s="5"/>
      <c r="H112" s="10">
        <f t="shared" si="61"/>
        <v>0</v>
      </c>
      <c r="I112" s="49" t="e">
        <f>VLOOKUP(B112,База!$B$8:$I$52,3,FALSE)*60</f>
        <v>#N/A</v>
      </c>
      <c r="J112" s="35" t="e">
        <f>VLOOKUP(B112,База!$B$8:$I$52,7,FALSE)*I112</f>
        <v>#N/A</v>
      </c>
      <c r="K112" s="35" t="e">
        <f>VLOOKUP(B112,База!$B$8:$I$52,6,FALSE)</f>
        <v>#N/A</v>
      </c>
      <c r="L112" s="35" t="e">
        <f t="shared" si="84"/>
        <v>#N/A</v>
      </c>
      <c r="M112" s="9">
        <f t="shared" si="85"/>
        <v>0</v>
      </c>
      <c r="N112" s="53">
        <f t="shared" si="74"/>
        <v>612.23658315042314</v>
      </c>
      <c r="O112" s="53">
        <f t="shared" si="75"/>
        <v>612.23658315042314</v>
      </c>
      <c r="P112" s="53">
        <f t="shared" si="76"/>
        <v>0</v>
      </c>
      <c r="Q112" s="53">
        <f t="shared" si="77"/>
        <v>612.23658315042314</v>
      </c>
      <c r="R112" s="43">
        <f t="shared" ref="R112:AA121" si="86">IF($Q112&gt;R$10,IF($Q112-$P112&lt;=R$10,$L112,1),0)</f>
        <v>1</v>
      </c>
      <c r="S112" s="43">
        <f t="shared" si="86"/>
        <v>1</v>
      </c>
      <c r="T112" s="43">
        <f t="shared" si="86"/>
        <v>1</v>
      </c>
      <c r="U112" s="43">
        <f t="shared" si="86"/>
        <v>1</v>
      </c>
      <c r="V112" s="43">
        <f t="shared" si="86"/>
        <v>1</v>
      </c>
      <c r="W112" s="43">
        <f t="shared" si="86"/>
        <v>1</v>
      </c>
      <c r="X112" s="43">
        <f t="shared" si="86"/>
        <v>1</v>
      </c>
      <c r="Y112" s="43">
        <f t="shared" si="86"/>
        <v>1</v>
      </c>
      <c r="Z112" s="43">
        <f t="shared" si="86"/>
        <v>1</v>
      </c>
      <c r="AA112" s="43">
        <f t="shared" si="86"/>
        <v>1</v>
      </c>
      <c r="AB112" s="43">
        <f t="shared" ref="AB112:AK121" si="87">IF($Q112&gt;AB$10,IF($Q112-$P112&lt;=AB$10,$L112,1),0)</f>
        <v>1</v>
      </c>
      <c r="AC112" s="43">
        <f t="shared" si="87"/>
        <v>1</v>
      </c>
      <c r="AD112" s="43">
        <f t="shared" si="87"/>
        <v>1</v>
      </c>
      <c r="AE112" s="43">
        <f t="shared" si="87"/>
        <v>1</v>
      </c>
      <c r="AF112" s="43">
        <f t="shared" si="87"/>
        <v>1</v>
      </c>
      <c r="AG112" s="43">
        <f t="shared" si="87"/>
        <v>1</v>
      </c>
      <c r="AH112" s="43">
        <f t="shared" si="87"/>
        <v>1</v>
      </c>
      <c r="AI112" s="43">
        <f t="shared" si="87"/>
        <v>1</v>
      </c>
      <c r="AJ112" s="43">
        <f t="shared" si="87"/>
        <v>1</v>
      </c>
      <c r="AK112" s="43">
        <f t="shared" si="87"/>
        <v>1</v>
      </c>
      <c r="AL112" s="43">
        <f t="shared" ref="AL112:AU121" si="88">IF($Q112&gt;AL$10,IF($Q112-$P112&lt;=AL$10,$L112,1),0)</f>
        <v>1</v>
      </c>
      <c r="AM112" s="43">
        <f t="shared" si="88"/>
        <v>1</v>
      </c>
      <c r="AN112" s="43">
        <f t="shared" si="88"/>
        <v>1</v>
      </c>
      <c r="AO112" s="43">
        <f t="shared" si="88"/>
        <v>1</v>
      </c>
      <c r="AP112" s="43">
        <f t="shared" si="88"/>
        <v>1</v>
      </c>
      <c r="AQ112" s="43">
        <f t="shared" si="88"/>
        <v>1</v>
      </c>
      <c r="AR112" s="43">
        <f t="shared" si="88"/>
        <v>1</v>
      </c>
      <c r="AS112" s="43">
        <f t="shared" si="88"/>
        <v>1</v>
      </c>
      <c r="AT112" s="43">
        <f t="shared" si="88"/>
        <v>1</v>
      </c>
      <c r="AU112" s="43">
        <f t="shared" si="88"/>
        <v>1</v>
      </c>
      <c r="AV112" s="43">
        <f t="shared" ref="AV112:BE121" si="89">IF($Q112&gt;AV$10,IF($Q112-$P112&lt;=AV$10,$L112,1),0)</f>
        <v>1</v>
      </c>
      <c r="AW112" s="43">
        <f t="shared" si="89"/>
        <v>1</v>
      </c>
      <c r="AX112" s="43">
        <f t="shared" si="89"/>
        <v>1</v>
      </c>
      <c r="AY112" s="43">
        <f t="shared" si="89"/>
        <v>1</v>
      </c>
      <c r="AZ112" s="43">
        <f t="shared" si="89"/>
        <v>1</v>
      </c>
      <c r="BA112" s="43">
        <f t="shared" si="89"/>
        <v>1</v>
      </c>
      <c r="BB112" s="43">
        <f t="shared" si="89"/>
        <v>1</v>
      </c>
      <c r="BC112" s="43">
        <f t="shared" si="89"/>
        <v>1</v>
      </c>
      <c r="BD112" s="43">
        <f t="shared" si="89"/>
        <v>1</v>
      </c>
      <c r="BE112" s="43">
        <f t="shared" si="89"/>
        <v>1</v>
      </c>
      <c r="BF112" s="43">
        <f t="shared" ref="BF112:BO121" si="90">IF($Q112&gt;BF$10,IF($Q112-$P112&lt;=BF$10,$L112,1),0)</f>
        <v>1</v>
      </c>
      <c r="BG112" s="43">
        <f t="shared" si="90"/>
        <v>1</v>
      </c>
      <c r="BH112" s="43">
        <f t="shared" si="90"/>
        <v>1</v>
      </c>
      <c r="BI112" s="43">
        <f t="shared" si="90"/>
        <v>1</v>
      </c>
      <c r="BJ112" s="43">
        <f t="shared" si="90"/>
        <v>1</v>
      </c>
      <c r="BK112" s="43">
        <f t="shared" si="90"/>
        <v>1</v>
      </c>
      <c r="BL112" s="43">
        <f t="shared" si="90"/>
        <v>1</v>
      </c>
      <c r="BM112" s="43">
        <f t="shared" si="90"/>
        <v>1</v>
      </c>
      <c r="BN112" s="43">
        <f t="shared" si="90"/>
        <v>1</v>
      </c>
      <c r="BO112" s="43">
        <f t="shared" si="90"/>
        <v>1</v>
      </c>
      <c r="BP112" s="43">
        <f t="shared" ref="BP112:CA121" si="91">IF($Q112&gt;BP$10,IF($Q112-$P112&lt;=BP$10,$L112,1),0)</f>
        <v>1</v>
      </c>
      <c r="BQ112" s="43">
        <f t="shared" si="91"/>
        <v>1</v>
      </c>
      <c r="BR112" s="43">
        <f t="shared" si="91"/>
        <v>0</v>
      </c>
      <c r="BS112" s="43">
        <f t="shared" si="91"/>
        <v>0</v>
      </c>
      <c r="BT112" s="43">
        <f t="shared" si="91"/>
        <v>0</v>
      </c>
      <c r="BU112" s="43">
        <f t="shared" si="91"/>
        <v>0</v>
      </c>
      <c r="BV112" s="43">
        <f t="shared" si="91"/>
        <v>0</v>
      </c>
      <c r="BW112" s="43">
        <f t="shared" si="91"/>
        <v>0</v>
      </c>
      <c r="BX112" s="43">
        <f t="shared" si="91"/>
        <v>0</v>
      </c>
      <c r="BY112" s="43">
        <f t="shared" si="91"/>
        <v>0</v>
      </c>
      <c r="BZ112" s="43">
        <f t="shared" si="91"/>
        <v>0</v>
      </c>
      <c r="CA112" s="43">
        <f t="shared" si="91"/>
        <v>0</v>
      </c>
    </row>
    <row r="113" spans="1:79" x14ac:dyDescent="0.25">
      <c r="A113" s="35">
        <v>96</v>
      </c>
      <c r="B113" s="8"/>
      <c r="C113" s="8"/>
      <c r="D113" s="8"/>
      <c r="E113" s="7"/>
      <c r="F113" s="49"/>
      <c r="G113" s="5"/>
      <c r="H113" s="10">
        <f t="shared" si="61"/>
        <v>0</v>
      </c>
      <c r="I113" s="49" t="e">
        <f>VLOOKUP(B113,База!$B$8:$I$52,3,FALSE)*60</f>
        <v>#N/A</v>
      </c>
      <c r="J113" s="35" t="e">
        <f>VLOOKUP(B113,База!$B$8:$I$52,7,FALSE)*I113</f>
        <v>#N/A</v>
      </c>
      <c r="K113" s="35" t="e">
        <f>VLOOKUP(B113,База!$B$8:$I$52,6,FALSE)</f>
        <v>#N/A</v>
      </c>
      <c r="L113" s="35" t="e">
        <f t="shared" si="84"/>
        <v>#N/A</v>
      </c>
      <c r="M113" s="9">
        <f t="shared" si="85"/>
        <v>0</v>
      </c>
      <c r="N113" s="53">
        <f t="shared" si="74"/>
        <v>612.23658315042314</v>
      </c>
      <c r="O113" s="53">
        <f t="shared" si="75"/>
        <v>612.23658315042314</v>
      </c>
      <c r="P113" s="53">
        <f t="shared" si="76"/>
        <v>0</v>
      </c>
      <c r="Q113" s="53">
        <f t="shared" si="77"/>
        <v>612.23658315042314</v>
      </c>
      <c r="R113" s="43">
        <f t="shared" si="86"/>
        <v>1</v>
      </c>
      <c r="S113" s="43">
        <f t="shared" si="86"/>
        <v>1</v>
      </c>
      <c r="T113" s="43">
        <f t="shared" si="86"/>
        <v>1</v>
      </c>
      <c r="U113" s="43">
        <f t="shared" si="86"/>
        <v>1</v>
      </c>
      <c r="V113" s="43">
        <f t="shared" si="86"/>
        <v>1</v>
      </c>
      <c r="W113" s="43">
        <f t="shared" si="86"/>
        <v>1</v>
      </c>
      <c r="X113" s="43">
        <f t="shared" si="86"/>
        <v>1</v>
      </c>
      <c r="Y113" s="43">
        <f t="shared" si="86"/>
        <v>1</v>
      </c>
      <c r="Z113" s="43">
        <f t="shared" si="86"/>
        <v>1</v>
      </c>
      <c r="AA113" s="43">
        <f t="shared" si="86"/>
        <v>1</v>
      </c>
      <c r="AB113" s="43">
        <f t="shared" si="87"/>
        <v>1</v>
      </c>
      <c r="AC113" s="43">
        <f t="shared" si="87"/>
        <v>1</v>
      </c>
      <c r="AD113" s="43">
        <f t="shared" si="87"/>
        <v>1</v>
      </c>
      <c r="AE113" s="43">
        <f t="shared" si="87"/>
        <v>1</v>
      </c>
      <c r="AF113" s="43">
        <f t="shared" si="87"/>
        <v>1</v>
      </c>
      <c r="AG113" s="43">
        <f t="shared" si="87"/>
        <v>1</v>
      </c>
      <c r="AH113" s="43">
        <f t="shared" si="87"/>
        <v>1</v>
      </c>
      <c r="AI113" s="43">
        <f t="shared" si="87"/>
        <v>1</v>
      </c>
      <c r="AJ113" s="43">
        <f t="shared" si="87"/>
        <v>1</v>
      </c>
      <c r="AK113" s="43">
        <f t="shared" si="87"/>
        <v>1</v>
      </c>
      <c r="AL113" s="43">
        <f t="shared" si="88"/>
        <v>1</v>
      </c>
      <c r="AM113" s="43">
        <f t="shared" si="88"/>
        <v>1</v>
      </c>
      <c r="AN113" s="43">
        <f t="shared" si="88"/>
        <v>1</v>
      </c>
      <c r="AO113" s="43">
        <f t="shared" si="88"/>
        <v>1</v>
      </c>
      <c r="AP113" s="43">
        <f t="shared" si="88"/>
        <v>1</v>
      </c>
      <c r="AQ113" s="43">
        <f t="shared" si="88"/>
        <v>1</v>
      </c>
      <c r="AR113" s="43">
        <f t="shared" si="88"/>
        <v>1</v>
      </c>
      <c r="AS113" s="43">
        <f t="shared" si="88"/>
        <v>1</v>
      </c>
      <c r="AT113" s="43">
        <f t="shared" si="88"/>
        <v>1</v>
      </c>
      <c r="AU113" s="43">
        <f t="shared" si="88"/>
        <v>1</v>
      </c>
      <c r="AV113" s="43">
        <f t="shared" si="89"/>
        <v>1</v>
      </c>
      <c r="AW113" s="43">
        <f t="shared" si="89"/>
        <v>1</v>
      </c>
      <c r="AX113" s="43">
        <f t="shared" si="89"/>
        <v>1</v>
      </c>
      <c r="AY113" s="43">
        <f t="shared" si="89"/>
        <v>1</v>
      </c>
      <c r="AZ113" s="43">
        <f t="shared" si="89"/>
        <v>1</v>
      </c>
      <c r="BA113" s="43">
        <f t="shared" si="89"/>
        <v>1</v>
      </c>
      <c r="BB113" s="43">
        <f t="shared" si="89"/>
        <v>1</v>
      </c>
      <c r="BC113" s="43">
        <f t="shared" si="89"/>
        <v>1</v>
      </c>
      <c r="BD113" s="43">
        <f t="shared" si="89"/>
        <v>1</v>
      </c>
      <c r="BE113" s="43">
        <f t="shared" si="89"/>
        <v>1</v>
      </c>
      <c r="BF113" s="43">
        <f t="shared" si="90"/>
        <v>1</v>
      </c>
      <c r="BG113" s="43">
        <f t="shared" si="90"/>
        <v>1</v>
      </c>
      <c r="BH113" s="43">
        <f t="shared" si="90"/>
        <v>1</v>
      </c>
      <c r="BI113" s="43">
        <f t="shared" si="90"/>
        <v>1</v>
      </c>
      <c r="BJ113" s="43">
        <f t="shared" si="90"/>
        <v>1</v>
      </c>
      <c r="BK113" s="43">
        <f t="shared" si="90"/>
        <v>1</v>
      </c>
      <c r="BL113" s="43">
        <f t="shared" si="90"/>
        <v>1</v>
      </c>
      <c r="BM113" s="43">
        <f t="shared" si="90"/>
        <v>1</v>
      </c>
      <c r="BN113" s="43">
        <f t="shared" si="90"/>
        <v>1</v>
      </c>
      <c r="BO113" s="43">
        <f t="shared" si="90"/>
        <v>1</v>
      </c>
      <c r="BP113" s="43">
        <f t="shared" si="91"/>
        <v>1</v>
      </c>
      <c r="BQ113" s="43">
        <f t="shared" si="91"/>
        <v>1</v>
      </c>
      <c r="BR113" s="43">
        <f t="shared" si="91"/>
        <v>0</v>
      </c>
      <c r="BS113" s="43">
        <f t="shared" si="91"/>
        <v>0</v>
      </c>
      <c r="BT113" s="43">
        <f t="shared" si="91"/>
        <v>0</v>
      </c>
      <c r="BU113" s="43">
        <f t="shared" si="91"/>
        <v>0</v>
      </c>
      <c r="BV113" s="43">
        <f t="shared" si="91"/>
        <v>0</v>
      </c>
      <c r="BW113" s="43">
        <f t="shared" si="91"/>
        <v>0</v>
      </c>
      <c r="BX113" s="43">
        <f t="shared" si="91"/>
        <v>0</v>
      </c>
      <c r="BY113" s="43">
        <f t="shared" si="91"/>
        <v>0</v>
      </c>
      <c r="BZ113" s="43">
        <f t="shared" si="91"/>
        <v>0</v>
      </c>
      <c r="CA113" s="43">
        <f t="shared" si="91"/>
        <v>0</v>
      </c>
    </row>
    <row r="114" spans="1:79" x14ac:dyDescent="0.25">
      <c r="A114" s="35">
        <v>97</v>
      </c>
      <c r="B114" s="8"/>
      <c r="C114" s="8"/>
      <c r="D114" s="8"/>
      <c r="E114" s="7"/>
      <c r="F114" s="49"/>
      <c r="G114" s="5"/>
      <c r="H114" s="10">
        <f t="shared" si="61"/>
        <v>0</v>
      </c>
      <c r="I114" s="49" t="e">
        <f>VLOOKUP(B114,База!$B$8:$I$52,3,FALSE)*60</f>
        <v>#N/A</v>
      </c>
      <c r="J114" s="35" t="e">
        <f>VLOOKUP(B114,База!$B$8:$I$52,7,FALSE)*I114</f>
        <v>#N/A</v>
      </c>
      <c r="K114" s="35" t="e">
        <f>VLOOKUP(B114,База!$B$8:$I$52,6,FALSE)</f>
        <v>#N/A</v>
      </c>
      <c r="L114" s="35" t="e">
        <f t="shared" si="84"/>
        <v>#N/A</v>
      </c>
      <c r="M114" s="9">
        <f t="shared" si="85"/>
        <v>0</v>
      </c>
      <c r="N114" s="53">
        <f t="shared" si="74"/>
        <v>612.23658315042314</v>
      </c>
      <c r="O114" s="53">
        <f t="shared" si="75"/>
        <v>612.23658315042314</v>
      </c>
      <c r="P114" s="53">
        <f t="shared" si="76"/>
        <v>0</v>
      </c>
      <c r="Q114" s="53">
        <f t="shared" si="77"/>
        <v>612.23658315042314</v>
      </c>
      <c r="R114" s="43">
        <f t="shared" si="86"/>
        <v>1</v>
      </c>
      <c r="S114" s="43">
        <f t="shared" si="86"/>
        <v>1</v>
      </c>
      <c r="T114" s="43">
        <f t="shared" si="86"/>
        <v>1</v>
      </c>
      <c r="U114" s="43">
        <f t="shared" si="86"/>
        <v>1</v>
      </c>
      <c r="V114" s="43">
        <f t="shared" si="86"/>
        <v>1</v>
      </c>
      <c r="W114" s="43">
        <f t="shared" si="86"/>
        <v>1</v>
      </c>
      <c r="X114" s="43">
        <f t="shared" si="86"/>
        <v>1</v>
      </c>
      <c r="Y114" s="43">
        <f t="shared" si="86"/>
        <v>1</v>
      </c>
      <c r="Z114" s="43">
        <f t="shared" si="86"/>
        <v>1</v>
      </c>
      <c r="AA114" s="43">
        <f t="shared" si="86"/>
        <v>1</v>
      </c>
      <c r="AB114" s="43">
        <f t="shared" si="87"/>
        <v>1</v>
      </c>
      <c r="AC114" s="43">
        <f t="shared" si="87"/>
        <v>1</v>
      </c>
      <c r="AD114" s="43">
        <f t="shared" si="87"/>
        <v>1</v>
      </c>
      <c r="AE114" s="43">
        <f t="shared" si="87"/>
        <v>1</v>
      </c>
      <c r="AF114" s="43">
        <f t="shared" si="87"/>
        <v>1</v>
      </c>
      <c r="AG114" s="43">
        <f t="shared" si="87"/>
        <v>1</v>
      </c>
      <c r="AH114" s="43">
        <f t="shared" si="87"/>
        <v>1</v>
      </c>
      <c r="AI114" s="43">
        <f t="shared" si="87"/>
        <v>1</v>
      </c>
      <c r="AJ114" s="43">
        <f t="shared" si="87"/>
        <v>1</v>
      </c>
      <c r="AK114" s="43">
        <f t="shared" si="87"/>
        <v>1</v>
      </c>
      <c r="AL114" s="43">
        <f t="shared" si="88"/>
        <v>1</v>
      </c>
      <c r="AM114" s="43">
        <f t="shared" si="88"/>
        <v>1</v>
      </c>
      <c r="AN114" s="43">
        <f t="shared" si="88"/>
        <v>1</v>
      </c>
      <c r="AO114" s="43">
        <f t="shared" si="88"/>
        <v>1</v>
      </c>
      <c r="AP114" s="43">
        <f t="shared" si="88"/>
        <v>1</v>
      </c>
      <c r="AQ114" s="43">
        <f t="shared" si="88"/>
        <v>1</v>
      </c>
      <c r="AR114" s="43">
        <f t="shared" si="88"/>
        <v>1</v>
      </c>
      <c r="AS114" s="43">
        <f t="shared" si="88"/>
        <v>1</v>
      </c>
      <c r="AT114" s="43">
        <f t="shared" si="88"/>
        <v>1</v>
      </c>
      <c r="AU114" s="43">
        <f t="shared" si="88"/>
        <v>1</v>
      </c>
      <c r="AV114" s="43">
        <f t="shared" si="89"/>
        <v>1</v>
      </c>
      <c r="AW114" s="43">
        <f t="shared" si="89"/>
        <v>1</v>
      </c>
      <c r="AX114" s="43">
        <f t="shared" si="89"/>
        <v>1</v>
      </c>
      <c r="AY114" s="43">
        <f t="shared" si="89"/>
        <v>1</v>
      </c>
      <c r="AZ114" s="43">
        <f t="shared" si="89"/>
        <v>1</v>
      </c>
      <c r="BA114" s="43">
        <f t="shared" si="89"/>
        <v>1</v>
      </c>
      <c r="BB114" s="43">
        <f t="shared" si="89"/>
        <v>1</v>
      </c>
      <c r="BC114" s="43">
        <f t="shared" si="89"/>
        <v>1</v>
      </c>
      <c r="BD114" s="43">
        <f t="shared" si="89"/>
        <v>1</v>
      </c>
      <c r="BE114" s="43">
        <f t="shared" si="89"/>
        <v>1</v>
      </c>
      <c r="BF114" s="43">
        <f t="shared" si="90"/>
        <v>1</v>
      </c>
      <c r="BG114" s="43">
        <f t="shared" si="90"/>
        <v>1</v>
      </c>
      <c r="BH114" s="43">
        <f t="shared" si="90"/>
        <v>1</v>
      </c>
      <c r="BI114" s="43">
        <f t="shared" si="90"/>
        <v>1</v>
      </c>
      <c r="BJ114" s="43">
        <f t="shared" si="90"/>
        <v>1</v>
      </c>
      <c r="BK114" s="43">
        <f t="shared" si="90"/>
        <v>1</v>
      </c>
      <c r="BL114" s="43">
        <f t="shared" si="90"/>
        <v>1</v>
      </c>
      <c r="BM114" s="43">
        <f t="shared" si="90"/>
        <v>1</v>
      </c>
      <c r="BN114" s="43">
        <f t="shared" si="90"/>
        <v>1</v>
      </c>
      <c r="BO114" s="43">
        <f t="shared" si="90"/>
        <v>1</v>
      </c>
      <c r="BP114" s="43">
        <f t="shared" si="91"/>
        <v>1</v>
      </c>
      <c r="BQ114" s="43">
        <f t="shared" si="91"/>
        <v>1</v>
      </c>
      <c r="BR114" s="43">
        <f t="shared" si="91"/>
        <v>0</v>
      </c>
      <c r="BS114" s="43">
        <f t="shared" si="91"/>
        <v>0</v>
      </c>
      <c r="BT114" s="43">
        <f t="shared" si="91"/>
        <v>0</v>
      </c>
      <c r="BU114" s="43">
        <f t="shared" si="91"/>
        <v>0</v>
      </c>
      <c r="BV114" s="43">
        <f t="shared" si="91"/>
        <v>0</v>
      </c>
      <c r="BW114" s="43">
        <f t="shared" si="91"/>
        <v>0</v>
      </c>
      <c r="BX114" s="43">
        <f t="shared" si="91"/>
        <v>0</v>
      </c>
      <c r="BY114" s="43">
        <f t="shared" si="91"/>
        <v>0</v>
      </c>
      <c r="BZ114" s="43">
        <f t="shared" si="91"/>
        <v>0</v>
      </c>
      <c r="CA114" s="43">
        <f t="shared" si="91"/>
        <v>0</v>
      </c>
    </row>
    <row r="115" spans="1:79" x14ac:dyDescent="0.25">
      <c r="A115" s="35">
        <v>98</v>
      </c>
      <c r="B115" s="8"/>
      <c r="C115" s="8"/>
      <c r="D115" s="8"/>
      <c r="E115" s="7"/>
      <c r="F115" s="49"/>
      <c r="G115" s="5"/>
      <c r="H115" s="10">
        <f t="shared" si="61"/>
        <v>0</v>
      </c>
      <c r="I115" s="49" t="e">
        <f>VLOOKUP(B115,База!$B$8:$I$52,3,FALSE)*60</f>
        <v>#N/A</v>
      </c>
      <c r="J115" s="35" t="e">
        <f>VLOOKUP(B115,База!$B$8:$I$52,7,FALSE)*I115</f>
        <v>#N/A</v>
      </c>
      <c r="K115" s="35" t="e">
        <f>VLOOKUP(B115,База!$B$8:$I$52,6,FALSE)</f>
        <v>#N/A</v>
      </c>
      <c r="L115" s="35" t="e">
        <f t="shared" si="84"/>
        <v>#N/A</v>
      </c>
      <c r="M115" s="9">
        <f t="shared" si="85"/>
        <v>0</v>
      </c>
      <c r="N115" s="53">
        <f t="shared" si="74"/>
        <v>612.23658315042314</v>
      </c>
      <c r="O115" s="53">
        <f t="shared" si="75"/>
        <v>612.23658315042314</v>
      </c>
      <c r="P115" s="53">
        <f t="shared" si="76"/>
        <v>0</v>
      </c>
      <c r="Q115" s="53">
        <f t="shared" si="77"/>
        <v>612.23658315042314</v>
      </c>
      <c r="R115" s="43">
        <f t="shared" si="86"/>
        <v>1</v>
      </c>
      <c r="S115" s="43">
        <f t="shared" si="86"/>
        <v>1</v>
      </c>
      <c r="T115" s="43">
        <f t="shared" si="86"/>
        <v>1</v>
      </c>
      <c r="U115" s="43">
        <f t="shared" si="86"/>
        <v>1</v>
      </c>
      <c r="V115" s="43">
        <f t="shared" si="86"/>
        <v>1</v>
      </c>
      <c r="W115" s="43">
        <f t="shared" si="86"/>
        <v>1</v>
      </c>
      <c r="X115" s="43">
        <f t="shared" si="86"/>
        <v>1</v>
      </c>
      <c r="Y115" s="43">
        <f t="shared" si="86"/>
        <v>1</v>
      </c>
      <c r="Z115" s="43">
        <f t="shared" si="86"/>
        <v>1</v>
      </c>
      <c r="AA115" s="43">
        <f t="shared" si="86"/>
        <v>1</v>
      </c>
      <c r="AB115" s="43">
        <f t="shared" si="87"/>
        <v>1</v>
      </c>
      <c r="AC115" s="43">
        <f t="shared" si="87"/>
        <v>1</v>
      </c>
      <c r="AD115" s="43">
        <f t="shared" si="87"/>
        <v>1</v>
      </c>
      <c r="AE115" s="43">
        <f t="shared" si="87"/>
        <v>1</v>
      </c>
      <c r="AF115" s="43">
        <f t="shared" si="87"/>
        <v>1</v>
      </c>
      <c r="AG115" s="43">
        <f t="shared" si="87"/>
        <v>1</v>
      </c>
      <c r="AH115" s="43">
        <f t="shared" si="87"/>
        <v>1</v>
      </c>
      <c r="AI115" s="43">
        <f t="shared" si="87"/>
        <v>1</v>
      </c>
      <c r="AJ115" s="43">
        <f t="shared" si="87"/>
        <v>1</v>
      </c>
      <c r="AK115" s="43">
        <f t="shared" si="87"/>
        <v>1</v>
      </c>
      <c r="AL115" s="43">
        <f t="shared" si="88"/>
        <v>1</v>
      </c>
      <c r="AM115" s="43">
        <f t="shared" si="88"/>
        <v>1</v>
      </c>
      <c r="AN115" s="43">
        <f t="shared" si="88"/>
        <v>1</v>
      </c>
      <c r="AO115" s="43">
        <f t="shared" si="88"/>
        <v>1</v>
      </c>
      <c r="AP115" s="43">
        <f t="shared" si="88"/>
        <v>1</v>
      </c>
      <c r="AQ115" s="43">
        <f t="shared" si="88"/>
        <v>1</v>
      </c>
      <c r="AR115" s="43">
        <f t="shared" si="88"/>
        <v>1</v>
      </c>
      <c r="AS115" s="43">
        <f t="shared" si="88"/>
        <v>1</v>
      </c>
      <c r="AT115" s="43">
        <f t="shared" si="88"/>
        <v>1</v>
      </c>
      <c r="AU115" s="43">
        <f t="shared" si="88"/>
        <v>1</v>
      </c>
      <c r="AV115" s="43">
        <f t="shared" si="89"/>
        <v>1</v>
      </c>
      <c r="AW115" s="43">
        <f t="shared" si="89"/>
        <v>1</v>
      </c>
      <c r="AX115" s="43">
        <f t="shared" si="89"/>
        <v>1</v>
      </c>
      <c r="AY115" s="43">
        <f t="shared" si="89"/>
        <v>1</v>
      </c>
      <c r="AZ115" s="43">
        <f t="shared" si="89"/>
        <v>1</v>
      </c>
      <c r="BA115" s="43">
        <f t="shared" si="89"/>
        <v>1</v>
      </c>
      <c r="BB115" s="43">
        <f t="shared" si="89"/>
        <v>1</v>
      </c>
      <c r="BC115" s="43">
        <f t="shared" si="89"/>
        <v>1</v>
      </c>
      <c r="BD115" s="43">
        <f t="shared" si="89"/>
        <v>1</v>
      </c>
      <c r="BE115" s="43">
        <f t="shared" si="89"/>
        <v>1</v>
      </c>
      <c r="BF115" s="43">
        <f t="shared" si="90"/>
        <v>1</v>
      </c>
      <c r="BG115" s="43">
        <f t="shared" si="90"/>
        <v>1</v>
      </c>
      <c r="BH115" s="43">
        <f t="shared" si="90"/>
        <v>1</v>
      </c>
      <c r="BI115" s="43">
        <f t="shared" si="90"/>
        <v>1</v>
      </c>
      <c r="BJ115" s="43">
        <f t="shared" si="90"/>
        <v>1</v>
      </c>
      <c r="BK115" s="43">
        <f t="shared" si="90"/>
        <v>1</v>
      </c>
      <c r="BL115" s="43">
        <f t="shared" si="90"/>
        <v>1</v>
      </c>
      <c r="BM115" s="43">
        <f t="shared" si="90"/>
        <v>1</v>
      </c>
      <c r="BN115" s="43">
        <f t="shared" si="90"/>
        <v>1</v>
      </c>
      <c r="BO115" s="43">
        <f t="shared" si="90"/>
        <v>1</v>
      </c>
      <c r="BP115" s="43">
        <f t="shared" si="91"/>
        <v>1</v>
      </c>
      <c r="BQ115" s="43">
        <f t="shared" si="91"/>
        <v>1</v>
      </c>
      <c r="BR115" s="43">
        <f t="shared" si="91"/>
        <v>0</v>
      </c>
      <c r="BS115" s="43">
        <f t="shared" si="91"/>
        <v>0</v>
      </c>
      <c r="BT115" s="43">
        <f t="shared" si="91"/>
        <v>0</v>
      </c>
      <c r="BU115" s="43">
        <f t="shared" si="91"/>
        <v>0</v>
      </c>
      <c r="BV115" s="43">
        <f t="shared" si="91"/>
        <v>0</v>
      </c>
      <c r="BW115" s="43">
        <f t="shared" si="91"/>
        <v>0</v>
      </c>
      <c r="BX115" s="43">
        <f t="shared" si="91"/>
        <v>0</v>
      </c>
      <c r="BY115" s="43">
        <f t="shared" si="91"/>
        <v>0</v>
      </c>
      <c r="BZ115" s="43">
        <f t="shared" si="91"/>
        <v>0</v>
      </c>
      <c r="CA115" s="43">
        <f t="shared" si="91"/>
        <v>0</v>
      </c>
    </row>
    <row r="116" spans="1:79" x14ac:dyDescent="0.25">
      <c r="A116" s="35">
        <v>99</v>
      </c>
      <c r="B116" s="8"/>
      <c r="C116" s="8"/>
      <c r="D116" s="8"/>
      <c r="E116" s="7"/>
      <c r="F116" s="49"/>
      <c r="G116" s="5"/>
      <c r="H116" s="10">
        <f t="shared" si="61"/>
        <v>0</v>
      </c>
      <c r="I116" s="49" t="e">
        <f>VLOOKUP(B116,База!$B$8:$I$52,3,FALSE)*60</f>
        <v>#N/A</v>
      </c>
      <c r="J116" s="35" t="e">
        <f>VLOOKUP(B116,База!$B$8:$I$52,7,FALSE)*I116</f>
        <v>#N/A</v>
      </c>
      <c r="K116" s="35" t="e">
        <f>VLOOKUP(B116,База!$B$8:$I$52,6,FALSE)</f>
        <v>#N/A</v>
      </c>
      <c r="L116" s="35" t="e">
        <f t="shared" si="84"/>
        <v>#N/A</v>
      </c>
      <c r="M116" s="9">
        <f t="shared" si="85"/>
        <v>0</v>
      </c>
      <c r="N116" s="53">
        <f t="shared" si="74"/>
        <v>612.23658315042314</v>
      </c>
      <c r="O116" s="53">
        <f t="shared" si="75"/>
        <v>612.23658315042314</v>
      </c>
      <c r="P116" s="53">
        <f t="shared" si="76"/>
        <v>0</v>
      </c>
      <c r="Q116" s="53">
        <f t="shared" si="77"/>
        <v>612.23658315042314</v>
      </c>
      <c r="R116" s="43">
        <f t="shared" si="86"/>
        <v>1</v>
      </c>
      <c r="S116" s="43">
        <f t="shared" si="86"/>
        <v>1</v>
      </c>
      <c r="T116" s="43">
        <f t="shared" si="86"/>
        <v>1</v>
      </c>
      <c r="U116" s="43">
        <f t="shared" si="86"/>
        <v>1</v>
      </c>
      <c r="V116" s="43">
        <f t="shared" si="86"/>
        <v>1</v>
      </c>
      <c r="W116" s="43">
        <f t="shared" si="86"/>
        <v>1</v>
      </c>
      <c r="X116" s="43">
        <f t="shared" si="86"/>
        <v>1</v>
      </c>
      <c r="Y116" s="43">
        <f t="shared" si="86"/>
        <v>1</v>
      </c>
      <c r="Z116" s="43">
        <f t="shared" si="86"/>
        <v>1</v>
      </c>
      <c r="AA116" s="43">
        <f t="shared" si="86"/>
        <v>1</v>
      </c>
      <c r="AB116" s="43">
        <f t="shared" si="87"/>
        <v>1</v>
      </c>
      <c r="AC116" s="43">
        <f t="shared" si="87"/>
        <v>1</v>
      </c>
      <c r="AD116" s="43">
        <f t="shared" si="87"/>
        <v>1</v>
      </c>
      <c r="AE116" s="43">
        <f t="shared" si="87"/>
        <v>1</v>
      </c>
      <c r="AF116" s="43">
        <f t="shared" si="87"/>
        <v>1</v>
      </c>
      <c r="AG116" s="43">
        <f t="shared" si="87"/>
        <v>1</v>
      </c>
      <c r="AH116" s="43">
        <f t="shared" si="87"/>
        <v>1</v>
      </c>
      <c r="AI116" s="43">
        <f t="shared" si="87"/>
        <v>1</v>
      </c>
      <c r="AJ116" s="43">
        <f t="shared" si="87"/>
        <v>1</v>
      </c>
      <c r="AK116" s="43">
        <f t="shared" si="87"/>
        <v>1</v>
      </c>
      <c r="AL116" s="43">
        <f t="shared" si="88"/>
        <v>1</v>
      </c>
      <c r="AM116" s="43">
        <f t="shared" si="88"/>
        <v>1</v>
      </c>
      <c r="AN116" s="43">
        <f t="shared" si="88"/>
        <v>1</v>
      </c>
      <c r="AO116" s="43">
        <f t="shared" si="88"/>
        <v>1</v>
      </c>
      <c r="AP116" s="43">
        <f t="shared" si="88"/>
        <v>1</v>
      </c>
      <c r="AQ116" s="43">
        <f t="shared" si="88"/>
        <v>1</v>
      </c>
      <c r="AR116" s="43">
        <f t="shared" si="88"/>
        <v>1</v>
      </c>
      <c r="AS116" s="43">
        <f t="shared" si="88"/>
        <v>1</v>
      </c>
      <c r="AT116" s="43">
        <f t="shared" si="88"/>
        <v>1</v>
      </c>
      <c r="AU116" s="43">
        <f t="shared" si="88"/>
        <v>1</v>
      </c>
      <c r="AV116" s="43">
        <f t="shared" si="89"/>
        <v>1</v>
      </c>
      <c r="AW116" s="43">
        <f t="shared" si="89"/>
        <v>1</v>
      </c>
      <c r="AX116" s="43">
        <f t="shared" si="89"/>
        <v>1</v>
      </c>
      <c r="AY116" s="43">
        <f t="shared" si="89"/>
        <v>1</v>
      </c>
      <c r="AZ116" s="43">
        <f t="shared" si="89"/>
        <v>1</v>
      </c>
      <c r="BA116" s="43">
        <f t="shared" si="89"/>
        <v>1</v>
      </c>
      <c r="BB116" s="43">
        <f t="shared" si="89"/>
        <v>1</v>
      </c>
      <c r="BC116" s="43">
        <f t="shared" si="89"/>
        <v>1</v>
      </c>
      <c r="BD116" s="43">
        <f t="shared" si="89"/>
        <v>1</v>
      </c>
      <c r="BE116" s="43">
        <f t="shared" si="89"/>
        <v>1</v>
      </c>
      <c r="BF116" s="43">
        <f t="shared" si="90"/>
        <v>1</v>
      </c>
      <c r="BG116" s="43">
        <f t="shared" si="90"/>
        <v>1</v>
      </c>
      <c r="BH116" s="43">
        <f t="shared" si="90"/>
        <v>1</v>
      </c>
      <c r="BI116" s="43">
        <f t="shared" si="90"/>
        <v>1</v>
      </c>
      <c r="BJ116" s="43">
        <f t="shared" si="90"/>
        <v>1</v>
      </c>
      <c r="BK116" s="43">
        <f t="shared" si="90"/>
        <v>1</v>
      </c>
      <c r="BL116" s="43">
        <f t="shared" si="90"/>
        <v>1</v>
      </c>
      <c r="BM116" s="43">
        <f t="shared" si="90"/>
        <v>1</v>
      </c>
      <c r="BN116" s="43">
        <f t="shared" si="90"/>
        <v>1</v>
      </c>
      <c r="BO116" s="43">
        <f t="shared" si="90"/>
        <v>1</v>
      </c>
      <c r="BP116" s="43">
        <f t="shared" si="91"/>
        <v>1</v>
      </c>
      <c r="BQ116" s="43">
        <f t="shared" si="91"/>
        <v>1</v>
      </c>
      <c r="BR116" s="43">
        <f t="shared" si="91"/>
        <v>0</v>
      </c>
      <c r="BS116" s="43">
        <f t="shared" si="91"/>
        <v>0</v>
      </c>
      <c r="BT116" s="43">
        <f t="shared" si="91"/>
        <v>0</v>
      </c>
      <c r="BU116" s="43">
        <f t="shared" si="91"/>
        <v>0</v>
      </c>
      <c r="BV116" s="43">
        <f t="shared" si="91"/>
        <v>0</v>
      </c>
      <c r="BW116" s="43">
        <f t="shared" si="91"/>
        <v>0</v>
      </c>
      <c r="BX116" s="43">
        <f t="shared" si="91"/>
        <v>0</v>
      </c>
      <c r="BY116" s="43">
        <f t="shared" si="91"/>
        <v>0</v>
      </c>
      <c r="BZ116" s="43">
        <f t="shared" si="91"/>
        <v>0</v>
      </c>
      <c r="CA116" s="43">
        <f t="shared" si="91"/>
        <v>0</v>
      </c>
    </row>
    <row r="117" spans="1:79" x14ac:dyDescent="0.25">
      <c r="A117" s="35">
        <v>100</v>
      </c>
      <c r="B117" s="8"/>
      <c r="C117" s="8"/>
      <c r="D117" s="8"/>
      <c r="E117" s="7"/>
      <c r="F117" s="49"/>
      <c r="G117" s="5"/>
      <c r="H117" s="10">
        <f t="shared" si="61"/>
        <v>0</v>
      </c>
      <c r="I117" s="49" t="e">
        <f>VLOOKUP(B117,База!$B$8:$I$52,3,FALSE)*60</f>
        <v>#N/A</v>
      </c>
      <c r="J117" s="35" t="e">
        <f>VLOOKUP(B117,База!$B$8:$I$52,7,FALSE)*I117</f>
        <v>#N/A</v>
      </c>
      <c r="K117" s="35" t="e">
        <f>VLOOKUP(B117,База!$B$8:$I$52,6,FALSE)</f>
        <v>#N/A</v>
      </c>
      <c r="L117" s="35" t="e">
        <f t="shared" si="84"/>
        <v>#N/A</v>
      </c>
      <c r="M117" s="9">
        <f t="shared" si="85"/>
        <v>0</v>
      </c>
      <c r="N117" s="53">
        <f t="shared" si="74"/>
        <v>612.23658315042314</v>
      </c>
      <c r="O117" s="53">
        <f t="shared" si="75"/>
        <v>612.23658315042314</v>
      </c>
      <c r="P117" s="53">
        <f t="shared" si="76"/>
        <v>0</v>
      </c>
      <c r="Q117" s="53">
        <f t="shared" si="77"/>
        <v>612.23658315042314</v>
      </c>
      <c r="R117" s="43">
        <f t="shared" si="86"/>
        <v>1</v>
      </c>
      <c r="S117" s="43">
        <f t="shared" si="86"/>
        <v>1</v>
      </c>
      <c r="T117" s="43">
        <f t="shared" si="86"/>
        <v>1</v>
      </c>
      <c r="U117" s="43">
        <f t="shared" si="86"/>
        <v>1</v>
      </c>
      <c r="V117" s="43">
        <f t="shared" si="86"/>
        <v>1</v>
      </c>
      <c r="W117" s="43">
        <f t="shared" si="86"/>
        <v>1</v>
      </c>
      <c r="X117" s="43">
        <f t="shared" si="86"/>
        <v>1</v>
      </c>
      <c r="Y117" s="43">
        <f t="shared" si="86"/>
        <v>1</v>
      </c>
      <c r="Z117" s="43">
        <f t="shared" si="86"/>
        <v>1</v>
      </c>
      <c r="AA117" s="43">
        <f t="shared" si="86"/>
        <v>1</v>
      </c>
      <c r="AB117" s="43">
        <f t="shared" si="87"/>
        <v>1</v>
      </c>
      <c r="AC117" s="43">
        <f t="shared" si="87"/>
        <v>1</v>
      </c>
      <c r="AD117" s="43">
        <f t="shared" si="87"/>
        <v>1</v>
      </c>
      <c r="AE117" s="43">
        <f t="shared" si="87"/>
        <v>1</v>
      </c>
      <c r="AF117" s="43">
        <f t="shared" si="87"/>
        <v>1</v>
      </c>
      <c r="AG117" s="43">
        <f t="shared" si="87"/>
        <v>1</v>
      </c>
      <c r="AH117" s="43">
        <f t="shared" si="87"/>
        <v>1</v>
      </c>
      <c r="AI117" s="43">
        <f t="shared" si="87"/>
        <v>1</v>
      </c>
      <c r="AJ117" s="43">
        <f t="shared" si="87"/>
        <v>1</v>
      </c>
      <c r="AK117" s="43">
        <f t="shared" si="87"/>
        <v>1</v>
      </c>
      <c r="AL117" s="43">
        <f t="shared" si="88"/>
        <v>1</v>
      </c>
      <c r="AM117" s="43">
        <f t="shared" si="88"/>
        <v>1</v>
      </c>
      <c r="AN117" s="43">
        <f t="shared" si="88"/>
        <v>1</v>
      </c>
      <c r="AO117" s="43">
        <f t="shared" si="88"/>
        <v>1</v>
      </c>
      <c r="AP117" s="43">
        <f t="shared" si="88"/>
        <v>1</v>
      </c>
      <c r="AQ117" s="43">
        <f t="shared" si="88"/>
        <v>1</v>
      </c>
      <c r="AR117" s="43">
        <f t="shared" si="88"/>
        <v>1</v>
      </c>
      <c r="AS117" s="43">
        <f t="shared" si="88"/>
        <v>1</v>
      </c>
      <c r="AT117" s="43">
        <f t="shared" si="88"/>
        <v>1</v>
      </c>
      <c r="AU117" s="43">
        <f t="shared" si="88"/>
        <v>1</v>
      </c>
      <c r="AV117" s="43">
        <f t="shared" si="89"/>
        <v>1</v>
      </c>
      <c r="AW117" s="43">
        <f t="shared" si="89"/>
        <v>1</v>
      </c>
      <c r="AX117" s="43">
        <f t="shared" si="89"/>
        <v>1</v>
      </c>
      <c r="AY117" s="43">
        <f t="shared" si="89"/>
        <v>1</v>
      </c>
      <c r="AZ117" s="43">
        <f t="shared" si="89"/>
        <v>1</v>
      </c>
      <c r="BA117" s="43">
        <f t="shared" si="89"/>
        <v>1</v>
      </c>
      <c r="BB117" s="43">
        <f t="shared" si="89"/>
        <v>1</v>
      </c>
      <c r="BC117" s="43">
        <f t="shared" si="89"/>
        <v>1</v>
      </c>
      <c r="BD117" s="43">
        <f t="shared" si="89"/>
        <v>1</v>
      </c>
      <c r="BE117" s="43">
        <f t="shared" si="89"/>
        <v>1</v>
      </c>
      <c r="BF117" s="43">
        <f t="shared" si="90"/>
        <v>1</v>
      </c>
      <c r="BG117" s="43">
        <f t="shared" si="90"/>
        <v>1</v>
      </c>
      <c r="BH117" s="43">
        <f t="shared" si="90"/>
        <v>1</v>
      </c>
      <c r="BI117" s="43">
        <f t="shared" si="90"/>
        <v>1</v>
      </c>
      <c r="BJ117" s="43">
        <f t="shared" si="90"/>
        <v>1</v>
      </c>
      <c r="BK117" s="43">
        <f t="shared" si="90"/>
        <v>1</v>
      </c>
      <c r="BL117" s="43">
        <f t="shared" si="90"/>
        <v>1</v>
      </c>
      <c r="BM117" s="43">
        <f t="shared" si="90"/>
        <v>1</v>
      </c>
      <c r="BN117" s="43">
        <f t="shared" si="90"/>
        <v>1</v>
      </c>
      <c r="BO117" s="43">
        <f t="shared" si="90"/>
        <v>1</v>
      </c>
      <c r="BP117" s="43">
        <f t="shared" si="91"/>
        <v>1</v>
      </c>
      <c r="BQ117" s="43">
        <f t="shared" si="91"/>
        <v>1</v>
      </c>
      <c r="BR117" s="43">
        <f t="shared" si="91"/>
        <v>0</v>
      </c>
      <c r="BS117" s="43">
        <f t="shared" si="91"/>
        <v>0</v>
      </c>
      <c r="BT117" s="43">
        <f t="shared" si="91"/>
        <v>0</v>
      </c>
      <c r="BU117" s="43">
        <f t="shared" si="91"/>
        <v>0</v>
      </c>
      <c r="BV117" s="43">
        <f t="shared" si="91"/>
        <v>0</v>
      </c>
      <c r="BW117" s="43">
        <f t="shared" si="91"/>
        <v>0</v>
      </c>
      <c r="BX117" s="43">
        <f t="shared" si="91"/>
        <v>0</v>
      </c>
      <c r="BY117" s="43">
        <f t="shared" si="91"/>
        <v>0</v>
      </c>
      <c r="BZ117" s="43">
        <f t="shared" si="91"/>
        <v>0</v>
      </c>
      <c r="CA117" s="43">
        <f t="shared" si="91"/>
        <v>0</v>
      </c>
    </row>
    <row r="118" spans="1:79" x14ac:dyDescent="0.25">
      <c r="A118" s="35">
        <v>101</v>
      </c>
      <c r="B118" s="8"/>
      <c r="C118" s="8"/>
      <c r="D118" s="8"/>
      <c r="E118" s="7"/>
      <c r="F118" s="49"/>
      <c r="G118" s="5"/>
      <c r="H118" s="10">
        <f t="shared" si="61"/>
        <v>0</v>
      </c>
      <c r="I118" s="49" t="e">
        <f>VLOOKUP(B118,База!$B$8:$I$52,3,FALSE)*60</f>
        <v>#N/A</v>
      </c>
      <c r="J118" s="35" t="e">
        <f>VLOOKUP(B118,База!$B$8:$I$52,7,FALSE)*I118</f>
        <v>#N/A</v>
      </c>
      <c r="K118" s="35" t="e">
        <f>VLOOKUP(B118,База!$B$8:$I$52,6,FALSE)</f>
        <v>#N/A</v>
      </c>
      <c r="L118" s="35" t="e">
        <f t="shared" si="84"/>
        <v>#N/A</v>
      </c>
      <c r="M118" s="9">
        <f t="shared" si="85"/>
        <v>0</v>
      </c>
      <c r="N118" s="53">
        <f t="shared" si="74"/>
        <v>612.23658315042314</v>
      </c>
      <c r="O118" s="53">
        <f t="shared" si="75"/>
        <v>612.23658315042314</v>
      </c>
      <c r="P118" s="53">
        <f t="shared" si="76"/>
        <v>0</v>
      </c>
      <c r="Q118" s="53">
        <f t="shared" si="77"/>
        <v>612.23658315042314</v>
      </c>
      <c r="R118" s="43">
        <f t="shared" si="86"/>
        <v>1</v>
      </c>
      <c r="S118" s="43">
        <f t="shared" si="86"/>
        <v>1</v>
      </c>
      <c r="T118" s="43">
        <f t="shared" si="86"/>
        <v>1</v>
      </c>
      <c r="U118" s="43">
        <f t="shared" si="86"/>
        <v>1</v>
      </c>
      <c r="V118" s="43">
        <f t="shared" si="86"/>
        <v>1</v>
      </c>
      <c r="W118" s="43">
        <f t="shared" si="86"/>
        <v>1</v>
      </c>
      <c r="X118" s="43">
        <f t="shared" si="86"/>
        <v>1</v>
      </c>
      <c r="Y118" s="43">
        <f t="shared" si="86"/>
        <v>1</v>
      </c>
      <c r="Z118" s="43">
        <f t="shared" si="86"/>
        <v>1</v>
      </c>
      <c r="AA118" s="43">
        <f t="shared" si="86"/>
        <v>1</v>
      </c>
      <c r="AB118" s="43">
        <f t="shared" si="87"/>
        <v>1</v>
      </c>
      <c r="AC118" s="43">
        <f t="shared" si="87"/>
        <v>1</v>
      </c>
      <c r="AD118" s="43">
        <f t="shared" si="87"/>
        <v>1</v>
      </c>
      <c r="AE118" s="43">
        <f t="shared" si="87"/>
        <v>1</v>
      </c>
      <c r="AF118" s="43">
        <f t="shared" si="87"/>
        <v>1</v>
      </c>
      <c r="AG118" s="43">
        <f t="shared" si="87"/>
        <v>1</v>
      </c>
      <c r="AH118" s="43">
        <f t="shared" si="87"/>
        <v>1</v>
      </c>
      <c r="AI118" s="43">
        <f t="shared" si="87"/>
        <v>1</v>
      </c>
      <c r="AJ118" s="43">
        <f t="shared" si="87"/>
        <v>1</v>
      </c>
      <c r="AK118" s="43">
        <f t="shared" si="87"/>
        <v>1</v>
      </c>
      <c r="AL118" s="43">
        <f t="shared" si="88"/>
        <v>1</v>
      </c>
      <c r="AM118" s="43">
        <f t="shared" si="88"/>
        <v>1</v>
      </c>
      <c r="AN118" s="43">
        <f t="shared" si="88"/>
        <v>1</v>
      </c>
      <c r="AO118" s="43">
        <f t="shared" si="88"/>
        <v>1</v>
      </c>
      <c r="AP118" s="43">
        <f t="shared" si="88"/>
        <v>1</v>
      </c>
      <c r="AQ118" s="43">
        <f t="shared" si="88"/>
        <v>1</v>
      </c>
      <c r="AR118" s="43">
        <f t="shared" si="88"/>
        <v>1</v>
      </c>
      <c r="AS118" s="43">
        <f t="shared" si="88"/>
        <v>1</v>
      </c>
      <c r="AT118" s="43">
        <f t="shared" si="88"/>
        <v>1</v>
      </c>
      <c r="AU118" s="43">
        <f t="shared" si="88"/>
        <v>1</v>
      </c>
      <c r="AV118" s="43">
        <f t="shared" si="89"/>
        <v>1</v>
      </c>
      <c r="AW118" s="43">
        <f t="shared" si="89"/>
        <v>1</v>
      </c>
      <c r="AX118" s="43">
        <f t="shared" si="89"/>
        <v>1</v>
      </c>
      <c r="AY118" s="43">
        <f t="shared" si="89"/>
        <v>1</v>
      </c>
      <c r="AZ118" s="43">
        <f t="shared" si="89"/>
        <v>1</v>
      </c>
      <c r="BA118" s="43">
        <f t="shared" si="89"/>
        <v>1</v>
      </c>
      <c r="BB118" s="43">
        <f t="shared" si="89"/>
        <v>1</v>
      </c>
      <c r="BC118" s="43">
        <f t="shared" si="89"/>
        <v>1</v>
      </c>
      <c r="BD118" s="43">
        <f t="shared" si="89"/>
        <v>1</v>
      </c>
      <c r="BE118" s="43">
        <f t="shared" si="89"/>
        <v>1</v>
      </c>
      <c r="BF118" s="43">
        <f t="shared" si="90"/>
        <v>1</v>
      </c>
      <c r="BG118" s="43">
        <f t="shared" si="90"/>
        <v>1</v>
      </c>
      <c r="BH118" s="43">
        <f t="shared" si="90"/>
        <v>1</v>
      </c>
      <c r="BI118" s="43">
        <f t="shared" si="90"/>
        <v>1</v>
      </c>
      <c r="BJ118" s="43">
        <f t="shared" si="90"/>
        <v>1</v>
      </c>
      <c r="BK118" s="43">
        <f t="shared" si="90"/>
        <v>1</v>
      </c>
      <c r="BL118" s="43">
        <f t="shared" si="90"/>
        <v>1</v>
      </c>
      <c r="BM118" s="43">
        <f t="shared" si="90"/>
        <v>1</v>
      </c>
      <c r="BN118" s="43">
        <f t="shared" si="90"/>
        <v>1</v>
      </c>
      <c r="BO118" s="43">
        <f t="shared" si="90"/>
        <v>1</v>
      </c>
      <c r="BP118" s="43">
        <f t="shared" si="91"/>
        <v>1</v>
      </c>
      <c r="BQ118" s="43">
        <f t="shared" si="91"/>
        <v>1</v>
      </c>
      <c r="BR118" s="43">
        <f t="shared" si="91"/>
        <v>0</v>
      </c>
      <c r="BS118" s="43">
        <f t="shared" si="91"/>
        <v>0</v>
      </c>
      <c r="BT118" s="43">
        <f t="shared" si="91"/>
        <v>0</v>
      </c>
      <c r="BU118" s="43">
        <f t="shared" si="91"/>
        <v>0</v>
      </c>
      <c r="BV118" s="43">
        <f t="shared" si="91"/>
        <v>0</v>
      </c>
      <c r="BW118" s="43">
        <f t="shared" si="91"/>
        <v>0</v>
      </c>
      <c r="BX118" s="43">
        <f t="shared" si="91"/>
        <v>0</v>
      </c>
      <c r="BY118" s="43">
        <f t="shared" si="91"/>
        <v>0</v>
      </c>
      <c r="BZ118" s="43">
        <f t="shared" si="91"/>
        <v>0</v>
      </c>
      <c r="CA118" s="43">
        <f t="shared" si="91"/>
        <v>0</v>
      </c>
    </row>
    <row r="119" spans="1:79" x14ac:dyDescent="0.25">
      <c r="A119" s="35">
        <v>102</v>
      </c>
      <c r="B119" s="8"/>
      <c r="C119" s="8"/>
      <c r="D119" s="8"/>
      <c r="E119" s="7"/>
      <c r="F119" s="49"/>
      <c r="G119" s="5"/>
      <c r="H119" s="10">
        <f t="shared" si="61"/>
        <v>0</v>
      </c>
      <c r="I119" s="49" t="e">
        <f>VLOOKUP(B119,База!$B$8:$I$52,3,FALSE)*60</f>
        <v>#N/A</v>
      </c>
      <c r="J119" s="35" t="e">
        <f>VLOOKUP(B119,База!$B$8:$I$52,7,FALSE)*I119</f>
        <v>#N/A</v>
      </c>
      <c r="K119" s="35" t="e">
        <f>VLOOKUP(B119,База!$B$8:$I$52,6,FALSE)</f>
        <v>#N/A</v>
      </c>
      <c r="L119" s="35" t="e">
        <f t="shared" si="84"/>
        <v>#N/A</v>
      </c>
      <c r="M119" s="9">
        <f t="shared" si="85"/>
        <v>0</v>
      </c>
      <c r="N119" s="53">
        <f t="shared" si="74"/>
        <v>612.23658315042314</v>
      </c>
      <c r="O119" s="53">
        <f t="shared" si="75"/>
        <v>612.23658315042314</v>
      </c>
      <c r="P119" s="53">
        <f t="shared" si="76"/>
        <v>0</v>
      </c>
      <c r="Q119" s="53">
        <f t="shared" si="77"/>
        <v>612.23658315042314</v>
      </c>
      <c r="R119" s="43">
        <f t="shared" si="86"/>
        <v>1</v>
      </c>
      <c r="S119" s="43">
        <f t="shared" si="86"/>
        <v>1</v>
      </c>
      <c r="T119" s="43">
        <f t="shared" si="86"/>
        <v>1</v>
      </c>
      <c r="U119" s="43">
        <f t="shared" si="86"/>
        <v>1</v>
      </c>
      <c r="V119" s="43">
        <f t="shared" si="86"/>
        <v>1</v>
      </c>
      <c r="W119" s="43">
        <f t="shared" si="86"/>
        <v>1</v>
      </c>
      <c r="X119" s="43">
        <f t="shared" si="86"/>
        <v>1</v>
      </c>
      <c r="Y119" s="43">
        <f t="shared" si="86"/>
        <v>1</v>
      </c>
      <c r="Z119" s="43">
        <f t="shared" si="86"/>
        <v>1</v>
      </c>
      <c r="AA119" s="43">
        <f t="shared" si="86"/>
        <v>1</v>
      </c>
      <c r="AB119" s="43">
        <f t="shared" si="87"/>
        <v>1</v>
      </c>
      <c r="AC119" s="43">
        <f t="shared" si="87"/>
        <v>1</v>
      </c>
      <c r="AD119" s="43">
        <f t="shared" si="87"/>
        <v>1</v>
      </c>
      <c r="AE119" s="43">
        <f t="shared" si="87"/>
        <v>1</v>
      </c>
      <c r="AF119" s="43">
        <f t="shared" si="87"/>
        <v>1</v>
      </c>
      <c r="AG119" s="43">
        <f t="shared" si="87"/>
        <v>1</v>
      </c>
      <c r="AH119" s="43">
        <f t="shared" si="87"/>
        <v>1</v>
      </c>
      <c r="AI119" s="43">
        <f t="shared" si="87"/>
        <v>1</v>
      </c>
      <c r="AJ119" s="43">
        <f t="shared" si="87"/>
        <v>1</v>
      </c>
      <c r="AK119" s="43">
        <f t="shared" si="87"/>
        <v>1</v>
      </c>
      <c r="AL119" s="43">
        <f t="shared" si="88"/>
        <v>1</v>
      </c>
      <c r="AM119" s="43">
        <f t="shared" si="88"/>
        <v>1</v>
      </c>
      <c r="AN119" s="43">
        <f t="shared" si="88"/>
        <v>1</v>
      </c>
      <c r="AO119" s="43">
        <f t="shared" si="88"/>
        <v>1</v>
      </c>
      <c r="AP119" s="43">
        <f t="shared" si="88"/>
        <v>1</v>
      </c>
      <c r="AQ119" s="43">
        <f t="shared" si="88"/>
        <v>1</v>
      </c>
      <c r="AR119" s="43">
        <f t="shared" si="88"/>
        <v>1</v>
      </c>
      <c r="AS119" s="43">
        <f t="shared" si="88"/>
        <v>1</v>
      </c>
      <c r="AT119" s="43">
        <f t="shared" si="88"/>
        <v>1</v>
      </c>
      <c r="AU119" s="43">
        <f t="shared" si="88"/>
        <v>1</v>
      </c>
      <c r="AV119" s="43">
        <f t="shared" si="89"/>
        <v>1</v>
      </c>
      <c r="AW119" s="43">
        <f t="shared" si="89"/>
        <v>1</v>
      </c>
      <c r="AX119" s="43">
        <f t="shared" si="89"/>
        <v>1</v>
      </c>
      <c r="AY119" s="43">
        <f t="shared" si="89"/>
        <v>1</v>
      </c>
      <c r="AZ119" s="43">
        <f t="shared" si="89"/>
        <v>1</v>
      </c>
      <c r="BA119" s="43">
        <f t="shared" si="89"/>
        <v>1</v>
      </c>
      <c r="BB119" s="43">
        <f t="shared" si="89"/>
        <v>1</v>
      </c>
      <c r="BC119" s="43">
        <f t="shared" si="89"/>
        <v>1</v>
      </c>
      <c r="BD119" s="43">
        <f t="shared" si="89"/>
        <v>1</v>
      </c>
      <c r="BE119" s="43">
        <f t="shared" si="89"/>
        <v>1</v>
      </c>
      <c r="BF119" s="43">
        <f t="shared" si="90"/>
        <v>1</v>
      </c>
      <c r="BG119" s="43">
        <f t="shared" si="90"/>
        <v>1</v>
      </c>
      <c r="BH119" s="43">
        <f t="shared" si="90"/>
        <v>1</v>
      </c>
      <c r="BI119" s="43">
        <f t="shared" si="90"/>
        <v>1</v>
      </c>
      <c r="BJ119" s="43">
        <f t="shared" si="90"/>
        <v>1</v>
      </c>
      <c r="BK119" s="43">
        <f t="shared" si="90"/>
        <v>1</v>
      </c>
      <c r="BL119" s="43">
        <f t="shared" si="90"/>
        <v>1</v>
      </c>
      <c r="BM119" s="43">
        <f t="shared" si="90"/>
        <v>1</v>
      </c>
      <c r="BN119" s="43">
        <f t="shared" si="90"/>
        <v>1</v>
      </c>
      <c r="BO119" s="43">
        <f t="shared" si="90"/>
        <v>1</v>
      </c>
      <c r="BP119" s="43">
        <f t="shared" si="91"/>
        <v>1</v>
      </c>
      <c r="BQ119" s="43">
        <f t="shared" si="91"/>
        <v>1</v>
      </c>
      <c r="BR119" s="43">
        <f t="shared" si="91"/>
        <v>0</v>
      </c>
      <c r="BS119" s="43">
        <f t="shared" si="91"/>
        <v>0</v>
      </c>
      <c r="BT119" s="43">
        <f t="shared" si="91"/>
        <v>0</v>
      </c>
      <c r="BU119" s="43">
        <f t="shared" si="91"/>
        <v>0</v>
      </c>
      <c r="BV119" s="43">
        <f t="shared" si="91"/>
        <v>0</v>
      </c>
      <c r="BW119" s="43">
        <f t="shared" si="91"/>
        <v>0</v>
      </c>
      <c r="BX119" s="43">
        <f t="shared" si="91"/>
        <v>0</v>
      </c>
      <c r="BY119" s="43">
        <f t="shared" si="91"/>
        <v>0</v>
      </c>
      <c r="BZ119" s="43">
        <f t="shared" si="91"/>
        <v>0</v>
      </c>
      <c r="CA119" s="43">
        <f t="shared" si="91"/>
        <v>0</v>
      </c>
    </row>
    <row r="120" spans="1:79" x14ac:dyDescent="0.25">
      <c r="A120" s="35">
        <v>103</v>
      </c>
      <c r="B120" s="8"/>
      <c r="C120" s="8"/>
      <c r="D120" s="8"/>
      <c r="E120" s="7"/>
      <c r="F120" s="49"/>
      <c r="G120" s="5"/>
      <c r="H120" s="10">
        <f t="shared" si="61"/>
        <v>0</v>
      </c>
      <c r="I120" s="49" t="e">
        <f>VLOOKUP(B120,База!$B$8:$I$52,3,FALSE)*60</f>
        <v>#N/A</v>
      </c>
      <c r="J120" s="35" t="e">
        <f>VLOOKUP(B120,База!$B$8:$I$52,7,FALSE)*I120</f>
        <v>#N/A</v>
      </c>
      <c r="K120" s="35" t="e">
        <f>VLOOKUP(B120,База!$B$8:$I$52,6,FALSE)</f>
        <v>#N/A</v>
      </c>
      <c r="L120" s="35" t="e">
        <f t="shared" si="84"/>
        <v>#N/A</v>
      </c>
      <c r="M120" s="9">
        <f t="shared" si="85"/>
        <v>0</v>
      </c>
      <c r="N120" s="53">
        <f t="shared" si="74"/>
        <v>612.23658315042314</v>
      </c>
      <c r="O120" s="53">
        <f t="shared" si="75"/>
        <v>612.23658315042314</v>
      </c>
      <c r="P120" s="53">
        <f t="shared" si="76"/>
        <v>0</v>
      </c>
      <c r="Q120" s="53">
        <f t="shared" si="77"/>
        <v>612.23658315042314</v>
      </c>
      <c r="R120" s="43">
        <f t="shared" si="86"/>
        <v>1</v>
      </c>
      <c r="S120" s="43">
        <f t="shared" si="86"/>
        <v>1</v>
      </c>
      <c r="T120" s="43">
        <f t="shared" si="86"/>
        <v>1</v>
      </c>
      <c r="U120" s="43">
        <f t="shared" si="86"/>
        <v>1</v>
      </c>
      <c r="V120" s="43">
        <f t="shared" si="86"/>
        <v>1</v>
      </c>
      <c r="W120" s="43">
        <f t="shared" si="86"/>
        <v>1</v>
      </c>
      <c r="X120" s="43">
        <f t="shared" si="86"/>
        <v>1</v>
      </c>
      <c r="Y120" s="43">
        <f t="shared" si="86"/>
        <v>1</v>
      </c>
      <c r="Z120" s="43">
        <f t="shared" si="86"/>
        <v>1</v>
      </c>
      <c r="AA120" s="43">
        <f t="shared" si="86"/>
        <v>1</v>
      </c>
      <c r="AB120" s="43">
        <f t="shared" si="87"/>
        <v>1</v>
      </c>
      <c r="AC120" s="43">
        <f t="shared" si="87"/>
        <v>1</v>
      </c>
      <c r="AD120" s="43">
        <f t="shared" si="87"/>
        <v>1</v>
      </c>
      <c r="AE120" s="43">
        <f t="shared" si="87"/>
        <v>1</v>
      </c>
      <c r="AF120" s="43">
        <f t="shared" si="87"/>
        <v>1</v>
      </c>
      <c r="AG120" s="43">
        <f t="shared" si="87"/>
        <v>1</v>
      </c>
      <c r="AH120" s="43">
        <f t="shared" si="87"/>
        <v>1</v>
      </c>
      <c r="AI120" s="43">
        <f t="shared" si="87"/>
        <v>1</v>
      </c>
      <c r="AJ120" s="43">
        <f t="shared" si="87"/>
        <v>1</v>
      </c>
      <c r="AK120" s="43">
        <f t="shared" si="87"/>
        <v>1</v>
      </c>
      <c r="AL120" s="43">
        <f t="shared" si="88"/>
        <v>1</v>
      </c>
      <c r="AM120" s="43">
        <f t="shared" si="88"/>
        <v>1</v>
      </c>
      <c r="AN120" s="43">
        <f t="shared" si="88"/>
        <v>1</v>
      </c>
      <c r="AO120" s="43">
        <f t="shared" si="88"/>
        <v>1</v>
      </c>
      <c r="AP120" s="43">
        <f t="shared" si="88"/>
        <v>1</v>
      </c>
      <c r="AQ120" s="43">
        <f t="shared" si="88"/>
        <v>1</v>
      </c>
      <c r="AR120" s="43">
        <f t="shared" si="88"/>
        <v>1</v>
      </c>
      <c r="AS120" s="43">
        <f t="shared" si="88"/>
        <v>1</v>
      </c>
      <c r="AT120" s="43">
        <f t="shared" si="88"/>
        <v>1</v>
      </c>
      <c r="AU120" s="43">
        <f t="shared" si="88"/>
        <v>1</v>
      </c>
      <c r="AV120" s="43">
        <f t="shared" si="89"/>
        <v>1</v>
      </c>
      <c r="AW120" s="43">
        <f t="shared" si="89"/>
        <v>1</v>
      </c>
      <c r="AX120" s="43">
        <f t="shared" si="89"/>
        <v>1</v>
      </c>
      <c r="AY120" s="43">
        <f t="shared" si="89"/>
        <v>1</v>
      </c>
      <c r="AZ120" s="43">
        <f t="shared" si="89"/>
        <v>1</v>
      </c>
      <c r="BA120" s="43">
        <f t="shared" si="89"/>
        <v>1</v>
      </c>
      <c r="BB120" s="43">
        <f t="shared" si="89"/>
        <v>1</v>
      </c>
      <c r="BC120" s="43">
        <f t="shared" si="89"/>
        <v>1</v>
      </c>
      <c r="BD120" s="43">
        <f t="shared" si="89"/>
        <v>1</v>
      </c>
      <c r="BE120" s="43">
        <f t="shared" si="89"/>
        <v>1</v>
      </c>
      <c r="BF120" s="43">
        <f t="shared" si="90"/>
        <v>1</v>
      </c>
      <c r="BG120" s="43">
        <f t="shared" si="90"/>
        <v>1</v>
      </c>
      <c r="BH120" s="43">
        <f t="shared" si="90"/>
        <v>1</v>
      </c>
      <c r="BI120" s="43">
        <f t="shared" si="90"/>
        <v>1</v>
      </c>
      <c r="BJ120" s="43">
        <f t="shared" si="90"/>
        <v>1</v>
      </c>
      <c r="BK120" s="43">
        <f t="shared" si="90"/>
        <v>1</v>
      </c>
      <c r="BL120" s="43">
        <f t="shared" si="90"/>
        <v>1</v>
      </c>
      <c r="BM120" s="43">
        <f t="shared" si="90"/>
        <v>1</v>
      </c>
      <c r="BN120" s="43">
        <f t="shared" si="90"/>
        <v>1</v>
      </c>
      <c r="BO120" s="43">
        <f t="shared" si="90"/>
        <v>1</v>
      </c>
      <c r="BP120" s="43">
        <f t="shared" si="91"/>
        <v>1</v>
      </c>
      <c r="BQ120" s="43">
        <f t="shared" si="91"/>
        <v>1</v>
      </c>
      <c r="BR120" s="43">
        <f t="shared" si="91"/>
        <v>0</v>
      </c>
      <c r="BS120" s="43">
        <f t="shared" si="91"/>
        <v>0</v>
      </c>
      <c r="BT120" s="43">
        <f t="shared" si="91"/>
        <v>0</v>
      </c>
      <c r="BU120" s="43">
        <f t="shared" si="91"/>
        <v>0</v>
      </c>
      <c r="BV120" s="43">
        <f t="shared" si="91"/>
        <v>0</v>
      </c>
      <c r="BW120" s="43">
        <f t="shared" si="91"/>
        <v>0</v>
      </c>
      <c r="BX120" s="43">
        <f t="shared" si="91"/>
        <v>0</v>
      </c>
      <c r="BY120" s="43">
        <f t="shared" si="91"/>
        <v>0</v>
      </c>
      <c r="BZ120" s="43">
        <f t="shared" si="91"/>
        <v>0</v>
      </c>
      <c r="CA120" s="43">
        <f t="shared" si="91"/>
        <v>0</v>
      </c>
    </row>
    <row r="121" spans="1:79" x14ac:dyDescent="0.25">
      <c r="A121" s="35">
        <v>104</v>
      </c>
      <c r="B121" s="8"/>
      <c r="C121" s="8"/>
      <c r="D121" s="8"/>
      <c r="E121" s="7"/>
      <c r="F121" s="49"/>
      <c r="G121" s="5"/>
      <c r="H121" s="10">
        <f t="shared" si="61"/>
        <v>0</v>
      </c>
      <c r="I121" s="49" t="e">
        <f>VLOOKUP(B121,База!$B$8:$I$52,3,FALSE)*60</f>
        <v>#N/A</v>
      </c>
      <c r="J121" s="35" t="e">
        <f>VLOOKUP(B121,База!$B$8:$I$52,7,FALSE)*I121</f>
        <v>#N/A</v>
      </c>
      <c r="K121" s="35" t="e">
        <f>VLOOKUP(B121,База!$B$8:$I$52,6,FALSE)</f>
        <v>#N/A</v>
      </c>
      <c r="L121" s="35" t="e">
        <f t="shared" si="84"/>
        <v>#N/A</v>
      </c>
      <c r="M121" s="9">
        <f t="shared" si="85"/>
        <v>0</v>
      </c>
      <c r="N121" s="53">
        <f t="shared" si="74"/>
        <v>612.23658315042314</v>
      </c>
      <c r="O121" s="53">
        <f t="shared" si="75"/>
        <v>612.23658315042314</v>
      </c>
      <c r="P121" s="53">
        <f t="shared" si="76"/>
        <v>0</v>
      </c>
      <c r="Q121" s="53">
        <f t="shared" si="77"/>
        <v>612.23658315042314</v>
      </c>
      <c r="R121" s="43">
        <f t="shared" si="86"/>
        <v>1</v>
      </c>
      <c r="S121" s="43">
        <f t="shared" si="86"/>
        <v>1</v>
      </c>
      <c r="T121" s="43">
        <f t="shared" si="86"/>
        <v>1</v>
      </c>
      <c r="U121" s="43">
        <f t="shared" si="86"/>
        <v>1</v>
      </c>
      <c r="V121" s="43">
        <f t="shared" si="86"/>
        <v>1</v>
      </c>
      <c r="W121" s="43">
        <f t="shared" si="86"/>
        <v>1</v>
      </c>
      <c r="X121" s="43">
        <f t="shared" si="86"/>
        <v>1</v>
      </c>
      <c r="Y121" s="43">
        <f t="shared" si="86"/>
        <v>1</v>
      </c>
      <c r="Z121" s="43">
        <f t="shared" si="86"/>
        <v>1</v>
      </c>
      <c r="AA121" s="43">
        <f t="shared" si="86"/>
        <v>1</v>
      </c>
      <c r="AB121" s="43">
        <f t="shared" si="87"/>
        <v>1</v>
      </c>
      <c r="AC121" s="43">
        <f t="shared" si="87"/>
        <v>1</v>
      </c>
      <c r="AD121" s="43">
        <f t="shared" si="87"/>
        <v>1</v>
      </c>
      <c r="AE121" s="43">
        <f t="shared" si="87"/>
        <v>1</v>
      </c>
      <c r="AF121" s="43">
        <f t="shared" si="87"/>
        <v>1</v>
      </c>
      <c r="AG121" s="43">
        <f t="shared" si="87"/>
        <v>1</v>
      </c>
      <c r="AH121" s="43">
        <f t="shared" si="87"/>
        <v>1</v>
      </c>
      <c r="AI121" s="43">
        <f t="shared" si="87"/>
        <v>1</v>
      </c>
      <c r="AJ121" s="43">
        <f t="shared" si="87"/>
        <v>1</v>
      </c>
      <c r="AK121" s="43">
        <f t="shared" si="87"/>
        <v>1</v>
      </c>
      <c r="AL121" s="43">
        <f t="shared" si="88"/>
        <v>1</v>
      </c>
      <c r="AM121" s="43">
        <f t="shared" si="88"/>
        <v>1</v>
      </c>
      <c r="AN121" s="43">
        <f t="shared" si="88"/>
        <v>1</v>
      </c>
      <c r="AO121" s="43">
        <f t="shared" si="88"/>
        <v>1</v>
      </c>
      <c r="AP121" s="43">
        <f t="shared" si="88"/>
        <v>1</v>
      </c>
      <c r="AQ121" s="43">
        <f t="shared" si="88"/>
        <v>1</v>
      </c>
      <c r="AR121" s="43">
        <f t="shared" si="88"/>
        <v>1</v>
      </c>
      <c r="AS121" s="43">
        <f t="shared" si="88"/>
        <v>1</v>
      </c>
      <c r="AT121" s="43">
        <f t="shared" si="88"/>
        <v>1</v>
      </c>
      <c r="AU121" s="43">
        <f t="shared" si="88"/>
        <v>1</v>
      </c>
      <c r="AV121" s="43">
        <f t="shared" si="89"/>
        <v>1</v>
      </c>
      <c r="AW121" s="43">
        <f t="shared" si="89"/>
        <v>1</v>
      </c>
      <c r="AX121" s="43">
        <f t="shared" si="89"/>
        <v>1</v>
      </c>
      <c r="AY121" s="43">
        <f t="shared" si="89"/>
        <v>1</v>
      </c>
      <c r="AZ121" s="43">
        <f t="shared" si="89"/>
        <v>1</v>
      </c>
      <c r="BA121" s="43">
        <f t="shared" si="89"/>
        <v>1</v>
      </c>
      <c r="BB121" s="43">
        <f t="shared" si="89"/>
        <v>1</v>
      </c>
      <c r="BC121" s="43">
        <f t="shared" si="89"/>
        <v>1</v>
      </c>
      <c r="BD121" s="43">
        <f t="shared" si="89"/>
        <v>1</v>
      </c>
      <c r="BE121" s="43">
        <f t="shared" si="89"/>
        <v>1</v>
      </c>
      <c r="BF121" s="43">
        <f t="shared" si="90"/>
        <v>1</v>
      </c>
      <c r="BG121" s="43">
        <f t="shared" si="90"/>
        <v>1</v>
      </c>
      <c r="BH121" s="43">
        <f t="shared" si="90"/>
        <v>1</v>
      </c>
      <c r="BI121" s="43">
        <f t="shared" si="90"/>
        <v>1</v>
      </c>
      <c r="BJ121" s="43">
        <f t="shared" si="90"/>
        <v>1</v>
      </c>
      <c r="BK121" s="43">
        <f t="shared" si="90"/>
        <v>1</v>
      </c>
      <c r="BL121" s="43">
        <f t="shared" si="90"/>
        <v>1</v>
      </c>
      <c r="BM121" s="43">
        <f t="shared" si="90"/>
        <v>1</v>
      </c>
      <c r="BN121" s="43">
        <f t="shared" si="90"/>
        <v>1</v>
      </c>
      <c r="BO121" s="43">
        <f t="shared" si="90"/>
        <v>1</v>
      </c>
      <c r="BP121" s="43">
        <f t="shared" si="91"/>
        <v>1</v>
      </c>
      <c r="BQ121" s="43">
        <f t="shared" si="91"/>
        <v>1</v>
      </c>
      <c r="BR121" s="43">
        <f t="shared" si="91"/>
        <v>0</v>
      </c>
      <c r="BS121" s="43">
        <f t="shared" si="91"/>
        <v>0</v>
      </c>
      <c r="BT121" s="43">
        <f t="shared" si="91"/>
        <v>0</v>
      </c>
      <c r="BU121" s="43">
        <f t="shared" si="91"/>
        <v>0</v>
      </c>
      <c r="BV121" s="43">
        <f t="shared" si="91"/>
        <v>0</v>
      </c>
      <c r="BW121" s="43">
        <f t="shared" si="91"/>
        <v>0</v>
      </c>
      <c r="BX121" s="43">
        <f t="shared" si="91"/>
        <v>0</v>
      </c>
      <c r="BY121" s="43">
        <f t="shared" si="91"/>
        <v>0</v>
      </c>
      <c r="BZ121" s="43">
        <f t="shared" si="91"/>
        <v>0</v>
      </c>
      <c r="CA121" s="43">
        <f t="shared" si="91"/>
        <v>0</v>
      </c>
    </row>
    <row r="122" spans="1:79" x14ac:dyDescent="0.25">
      <c r="A122" s="35">
        <v>105</v>
      </c>
      <c r="B122" s="8"/>
      <c r="C122" s="8"/>
      <c r="D122" s="8"/>
      <c r="E122" s="7"/>
      <c r="F122" s="49"/>
      <c r="G122" s="5"/>
      <c r="H122" s="10">
        <f t="shared" si="61"/>
        <v>0</v>
      </c>
      <c r="I122" s="49" t="e">
        <f>VLOOKUP(B122,База!$B$8:$I$52,3,FALSE)*60</f>
        <v>#N/A</v>
      </c>
      <c r="J122" s="35" t="e">
        <f>VLOOKUP(B122,База!$B$8:$I$52,7,FALSE)*I122</f>
        <v>#N/A</v>
      </c>
      <c r="K122" s="35" t="e">
        <f>VLOOKUP(B122,База!$B$8:$I$52,6,FALSE)</f>
        <v>#N/A</v>
      </c>
      <c r="L122" s="35" t="e">
        <f t="shared" si="84"/>
        <v>#N/A</v>
      </c>
      <c r="M122" s="9">
        <f t="shared" si="85"/>
        <v>0</v>
      </c>
      <c r="N122" s="53">
        <f t="shared" si="74"/>
        <v>612.23658315042314</v>
      </c>
      <c r="O122" s="53">
        <f t="shared" si="75"/>
        <v>612.23658315042314</v>
      </c>
      <c r="P122" s="53">
        <f t="shared" si="76"/>
        <v>0</v>
      </c>
      <c r="Q122" s="53">
        <f t="shared" si="77"/>
        <v>612.23658315042314</v>
      </c>
      <c r="R122" s="43">
        <f t="shared" ref="R122:AA131" si="92">IF($Q122&gt;R$10,IF($Q122-$P122&lt;=R$10,$L122,1),0)</f>
        <v>1</v>
      </c>
      <c r="S122" s="43">
        <f t="shared" si="92"/>
        <v>1</v>
      </c>
      <c r="T122" s="43">
        <f t="shared" si="92"/>
        <v>1</v>
      </c>
      <c r="U122" s="43">
        <f t="shared" si="92"/>
        <v>1</v>
      </c>
      <c r="V122" s="43">
        <f t="shared" si="92"/>
        <v>1</v>
      </c>
      <c r="W122" s="43">
        <f t="shared" si="92"/>
        <v>1</v>
      </c>
      <c r="X122" s="43">
        <f t="shared" si="92"/>
        <v>1</v>
      </c>
      <c r="Y122" s="43">
        <f t="shared" si="92"/>
        <v>1</v>
      </c>
      <c r="Z122" s="43">
        <f t="shared" si="92"/>
        <v>1</v>
      </c>
      <c r="AA122" s="43">
        <f t="shared" si="92"/>
        <v>1</v>
      </c>
      <c r="AB122" s="43">
        <f t="shared" ref="AB122:AK131" si="93">IF($Q122&gt;AB$10,IF($Q122-$P122&lt;=AB$10,$L122,1),0)</f>
        <v>1</v>
      </c>
      <c r="AC122" s="43">
        <f t="shared" si="93"/>
        <v>1</v>
      </c>
      <c r="AD122" s="43">
        <f t="shared" si="93"/>
        <v>1</v>
      </c>
      <c r="AE122" s="43">
        <f t="shared" si="93"/>
        <v>1</v>
      </c>
      <c r="AF122" s="43">
        <f t="shared" si="93"/>
        <v>1</v>
      </c>
      <c r="AG122" s="43">
        <f t="shared" si="93"/>
        <v>1</v>
      </c>
      <c r="AH122" s="43">
        <f t="shared" si="93"/>
        <v>1</v>
      </c>
      <c r="AI122" s="43">
        <f t="shared" si="93"/>
        <v>1</v>
      </c>
      <c r="AJ122" s="43">
        <f t="shared" si="93"/>
        <v>1</v>
      </c>
      <c r="AK122" s="43">
        <f t="shared" si="93"/>
        <v>1</v>
      </c>
      <c r="AL122" s="43">
        <f t="shared" ref="AL122:AU131" si="94">IF($Q122&gt;AL$10,IF($Q122-$P122&lt;=AL$10,$L122,1),0)</f>
        <v>1</v>
      </c>
      <c r="AM122" s="43">
        <f t="shared" si="94"/>
        <v>1</v>
      </c>
      <c r="AN122" s="43">
        <f t="shared" si="94"/>
        <v>1</v>
      </c>
      <c r="AO122" s="43">
        <f t="shared" si="94"/>
        <v>1</v>
      </c>
      <c r="AP122" s="43">
        <f t="shared" si="94"/>
        <v>1</v>
      </c>
      <c r="AQ122" s="43">
        <f t="shared" si="94"/>
        <v>1</v>
      </c>
      <c r="AR122" s="43">
        <f t="shared" si="94"/>
        <v>1</v>
      </c>
      <c r="AS122" s="43">
        <f t="shared" si="94"/>
        <v>1</v>
      </c>
      <c r="AT122" s="43">
        <f t="shared" si="94"/>
        <v>1</v>
      </c>
      <c r="AU122" s="43">
        <f t="shared" si="94"/>
        <v>1</v>
      </c>
      <c r="AV122" s="43">
        <f t="shared" ref="AV122:BE131" si="95">IF($Q122&gt;AV$10,IF($Q122-$P122&lt;=AV$10,$L122,1),0)</f>
        <v>1</v>
      </c>
      <c r="AW122" s="43">
        <f t="shared" si="95"/>
        <v>1</v>
      </c>
      <c r="AX122" s="43">
        <f t="shared" si="95"/>
        <v>1</v>
      </c>
      <c r="AY122" s="43">
        <f t="shared" si="95"/>
        <v>1</v>
      </c>
      <c r="AZ122" s="43">
        <f t="shared" si="95"/>
        <v>1</v>
      </c>
      <c r="BA122" s="43">
        <f t="shared" si="95"/>
        <v>1</v>
      </c>
      <c r="BB122" s="43">
        <f t="shared" si="95"/>
        <v>1</v>
      </c>
      <c r="BC122" s="43">
        <f t="shared" si="95"/>
        <v>1</v>
      </c>
      <c r="BD122" s="43">
        <f t="shared" si="95"/>
        <v>1</v>
      </c>
      <c r="BE122" s="43">
        <f t="shared" si="95"/>
        <v>1</v>
      </c>
      <c r="BF122" s="43">
        <f t="shared" ref="BF122:BO131" si="96">IF($Q122&gt;BF$10,IF($Q122-$P122&lt;=BF$10,$L122,1),0)</f>
        <v>1</v>
      </c>
      <c r="BG122" s="43">
        <f t="shared" si="96"/>
        <v>1</v>
      </c>
      <c r="BH122" s="43">
        <f t="shared" si="96"/>
        <v>1</v>
      </c>
      <c r="BI122" s="43">
        <f t="shared" si="96"/>
        <v>1</v>
      </c>
      <c r="BJ122" s="43">
        <f t="shared" si="96"/>
        <v>1</v>
      </c>
      <c r="BK122" s="43">
        <f t="shared" si="96"/>
        <v>1</v>
      </c>
      <c r="BL122" s="43">
        <f t="shared" si="96"/>
        <v>1</v>
      </c>
      <c r="BM122" s="43">
        <f t="shared" si="96"/>
        <v>1</v>
      </c>
      <c r="BN122" s="43">
        <f t="shared" si="96"/>
        <v>1</v>
      </c>
      <c r="BO122" s="43">
        <f t="shared" si="96"/>
        <v>1</v>
      </c>
      <c r="BP122" s="43">
        <f t="shared" ref="BP122:CA131" si="97">IF($Q122&gt;BP$10,IF($Q122-$P122&lt;=BP$10,$L122,1),0)</f>
        <v>1</v>
      </c>
      <c r="BQ122" s="43">
        <f t="shared" si="97"/>
        <v>1</v>
      </c>
      <c r="BR122" s="43">
        <f t="shared" si="97"/>
        <v>0</v>
      </c>
      <c r="BS122" s="43">
        <f t="shared" si="97"/>
        <v>0</v>
      </c>
      <c r="BT122" s="43">
        <f t="shared" si="97"/>
        <v>0</v>
      </c>
      <c r="BU122" s="43">
        <f t="shared" si="97"/>
        <v>0</v>
      </c>
      <c r="BV122" s="43">
        <f t="shared" si="97"/>
        <v>0</v>
      </c>
      <c r="BW122" s="43">
        <f t="shared" si="97"/>
        <v>0</v>
      </c>
      <c r="BX122" s="43">
        <f t="shared" si="97"/>
        <v>0</v>
      </c>
      <c r="BY122" s="43">
        <f t="shared" si="97"/>
        <v>0</v>
      </c>
      <c r="BZ122" s="43">
        <f t="shared" si="97"/>
        <v>0</v>
      </c>
      <c r="CA122" s="43">
        <f t="shared" si="97"/>
        <v>0</v>
      </c>
    </row>
    <row r="123" spans="1:79" x14ac:dyDescent="0.25">
      <c r="A123" s="35">
        <v>106</v>
      </c>
      <c r="B123" s="8"/>
      <c r="C123" s="8"/>
      <c r="D123" s="8"/>
      <c r="E123" s="7"/>
      <c r="F123" s="49"/>
      <c r="G123" s="5"/>
      <c r="H123" s="10">
        <f t="shared" si="61"/>
        <v>0</v>
      </c>
      <c r="I123" s="49" t="e">
        <f>VLOOKUP(B123,База!$B$8:$I$52,3,FALSE)*60</f>
        <v>#N/A</v>
      </c>
      <c r="J123" s="35" t="e">
        <f>VLOOKUP(B123,База!$B$8:$I$52,7,FALSE)*I123</f>
        <v>#N/A</v>
      </c>
      <c r="K123" s="35" t="e">
        <f>VLOOKUP(B123,База!$B$8:$I$52,6,FALSE)</f>
        <v>#N/A</v>
      </c>
      <c r="L123" s="35" t="e">
        <f t="shared" si="84"/>
        <v>#N/A</v>
      </c>
      <c r="M123" s="9">
        <f t="shared" si="85"/>
        <v>0</v>
      </c>
      <c r="N123" s="53">
        <f t="shared" si="74"/>
        <v>612.23658315042314</v>
      </c>
      <c r="O123" s="53">
        <f t="shared" si="75"/>
        <v>612.23658315042314</v>
      </c>
      <c r="P123" s="53">
        <f t="shared" si="76"/>
        <v>0</v>
      </c>
      <c r="Q123" s="53">
        <f t="shared" si="77"/>
        <v>612.23658315042314</v>
      </c>
      <c r="R123" s="43">
        <f t="shared" si="92"/>
        <v>1</v>
      </c>
      <c r="S123" s="43">
        <f t="shared" si="92"/>
        <v>1</v>
      </c>
      <c r="T123" s="43">
        <f t="shared" si="92"/>
        <v>1</v>
      </c>
      <c r="U123" s="43">
        <f t="shared" si="92"/>
        <v>1</v>
      </c>
      <c r="V123" s="43">
        <f t="shared" si="92"/>
        <v>1</v>
      </c>
      <c r="W123" s="43">
        <f t="shared" si="92"/>
        <v>1</v>
      </c>
      <c r="X123" s="43">
        <f t="shared" si="92"/>
        <v>1</v>
      </c>
      <c r="Y123" s="43">
        <f t="shared" si="92"/>
        <v>1</v>
      </c>
      <c r="Z123" s="43">
        <f t="shared" si="92"/>
        <v>1</v>
      </c>
      <c r="AA123" s="43">
        <f t="shared" si="92"/>
        <v>1</v>
      </c>
      <c r="AB123" s="43">
        <f t="shared" si="93"/>
        <v>1</v>
      </c>
      <c r="AC123" s="43">
        <f t="shared" si="93"/>
        <v>1</v>
      </c>
      <c r="AD123" s="43">
        <f t="shared" si="93"/>
        <v>1</v>
      </c>
      <c r="AE123" s="43">
        <f t="shared" si="93"/>
        <v>1</v>
      </c>
      <c r="AF123" s="43">
        <f t="shared" si="93"/>
        <v>1</v>
      </c>
      <c r="AG123" s="43">
        <f t="shared" si="93"/>
        <v>1</v>
      </c>
      <c r="AH123" s="43">
        <f t="shared" si="93"/>
        <v>1</v>
      </c>
      <c r="AI123" s="43">
        <f t="shared" si="93"/>
        <v>1</v>
      </c>
      <c r="AJ123" s="43">
        <f t="shared" si="93"/>
        <v>1</v>
      </c>
      <c r="AK123" s="43">
        <f t="shared" si="93"/>
        <v>1</v>
      </c>
      <c r="AL123" s="43">
        <f t="shared" si="94"/>
        <v>1</v>
      </c>
      <c r="AM123" s="43">
        <f t="shared" si="94"/>
        <v>1</v>
      </c>
      <c r="AN123" s="43">
        <f t="shared" si="94"/>
        <v>1</v>
      </c>
      <c r="AO123" s="43">
        <f t="shared" si="94"/>
        <v>1</v>
      </c>
      <c r="AP123" s="43">
        <f t="shared" si="94"/>
        <v>1</v>
      </c>
      <c r="AQ123" s="43">
        <f t="shared" si="94"/>
        <v>1</v>
      </c>
      <c r="AR123" s="43">
        <f t="shared" si="94"/>
        <v>1</v>
      </c>
      <c r="AS123" s="43">
        <f t="shared" si="94"/>
        <v>1</v>
      </c>
      <c r="AT123" s="43">
        <f t="shared" si="94"/>
        <v>1</v>
      </c>
      <c r="AU123" s="43">
        <f t="shared" si="94"/>
        <v>1</v>
      </c>
      <c r="AV123" s="43">
        <f t="shared" si="95"/>
        <v>1</v>
      </c>
      <c r="AW123" s="43">
        <f t="shared" si="95"/>
        <v>1</v>
      </c>
      <c r="AX123" s="43">
        <f t="shared" si="95"/>
        <v>1</v>
      </c>
      <c r="AY123" s="43">
        <f t="shared" si="95"/>
        <v>1</v>
      </c>
      <c r="AZ123" s="43">
        <f t="shared" si="95"/>
        <v>1</v>
      </c>
      <c r="BA123" s="43">
        <f t="shared" si="95"/>
        <v>1</v>
      </c>
      <c r="BB123" s="43">
        <f t="shared" si="95"/>
        <v>1</v>
      </c>
      <c r="BC123" s="43">
        <f t="shared" si="95"/>
        <v>1</v>
      </c>
      <c r="BD123" s="43">
        <f t="shared" si="95"/>
        <v>1</v>
      </c>
      <c r="BE123" s="43">
        <f t="shared" si="95"/>
        <v>1</v>
      </c>
      <c r="BF123" s="43">
        <f t="shared" si="96"/>
        <v>1</v>
      </c>
      <c r="BG123" s="43">
        <f t="shared" si="96"/>
        <v>1</v>
      </c>
      <c r="BH123" s="43">
        <f t="shared" si="96"/>
        <v>1</v>
      </c>
      <c r="BI123" s="43">
        <f t="shared" si="96"/>
        <v>1</v>
      </c>
      <c r="BJ123" s="43">
        <f t="shared" si="96"/>
        <v>1</v>
      </c>
      <c r="BK123" s="43">
        <f t="shared" si="96"/>
        <v>1</v>
      </c>
      <c r="BL123" s="43">
        <f t="shared" si="96"/>
        <v>1</v>
      </c>
      <c r="BM123" s="43">
        <f t="shared" si="96"/>
        <v>1</v>
      </c>
      <c r="BN123" s="43">
        <f t="shared" si="96"/>
        <v>1</v>
      </c>
      <c r="BO123" s="43">
        <f t="shared" si="96"/>
        <v>1</v>
      </c>
      <c r="BP123" s="43">
        <f t="shared" si="97"/>
        <v>1</v>
      </c>
      <c r="BQ123" s="43">
        <f t="shared" si="97"/>
        <v>1</v>
      </c>
      <c r="BR123" s="43">
        <f t="shared" si="97"/>
        <v>0</v>
      </c>
      <c r="BS123" s="43">
        <f t="shared" si="97"/>
        <v>0</v>
      </c>
      <c r="BT123" s="43">
        <f t="shared" si="97"/>
        <v>0</v>
      </c>
      <c r="BU123" s="43">
        <f t="shared" si="97"/>
        <v>0</v>
      </c>
      <c r="BV123" s="43">
        <f t="shared" si="97"/>
        <v>0</v>
      </c>
      <c r="BW123" s="43">
        <f t="shared" si="97"/>
        <v>0</v>
      </c>
      <c r="BX123" s="43">
        <f t="shared" si="97"/>
        <v>0</v>
      </c>
      <c r="BY123" s="43">
        <f t="shared" si="97"/>
        <v>0</v>
      </c>
      <c r="BZ123" s="43">
        <f t="shared" si="97"/>
        <v>0</v>
      </c>
      <c r="CA123" s="43">
        <f t="shared" si="97"/>
        <v>0</v>
      </c>
    </row>
    <row r="124" spans="1:79" x14ac:dyDescent="0.25">
      <c r="A124" s="35">
        <v>107</v>
      </c>
      <c r="B124" s="8"/>
      <c r="C124" s="8"/>
      <c r="D124" s="8"/>
      <c r="E124" s="7"/>
      <c r="F124" s="49"/>
      <c r="G124" s="5"/>
      <c r="H124" s="10">
        <f t="shared" si="61"/>
        <v>0</v>
      </c>
      <c r="I124" s="49" t="e">
        <f>VLOOKUP(B124,База!$B$8:$I$52,3,FALSE)*60</f>
        <v>#N/A</v>
      </c>
      <c r="J124" s="35" t="e">
        <f>VLOOKUP(B124,База!$B$8:$I$52,7,FALSE)*I124</f>
        <v>#N/A</v>
      </c>
      <c r="K124" s="35" t="e">
        <f>VLOOKUP(B124,База!$B$8:$I$52,6,FALSE)</f>
        <v>#N/A</v>
      </c>
      <c r="L124" s="35" t="e">
        <f t="shared" si="84"/>
        <v>#N/A</v>
      </c>
      <c r="M124" s="9">
        <f t="shared" si="85"/>
        <v>0</v>
      </c>
      <c r="N124" s="53">
        <f t="shared" si="74"/>
        <v>612.23658315042314</v>
      </c>
      <c r="O124" s="53">
        <f t="shared" si="75"/>
        <v>612.23658315042314</v>
      </c>
      <c r="P124" s="53">
        <f t="shared" si="76"/>
        <v>0</v>
      </c>
      <c r="Q124" s="53">
        <f t="shared" si="77"/>
        <v>612.23658315042314</v>
      </c>
      <c r="R124" s="43">
        <f t="shared" si="92"/>
        <v>1</v>
      </c>
      <c r="S124" s="43">
        <f t="shared" si="92"/>
        <v>1</v>
      </c>
      <c r="T124" s="43">
        <f t="shared" si="92"/>
        <v>1</v>
      </c>
      <c r="U124" s="43">
        <f t="shared" si="92"/>
        <v>1</v>
      </c>
      <c r="V124" s="43">
        <f t="shared" si="92"/>
        <v>1</v>
      </c>
      <c r="W124" s="43">
        <f t="shared" si="92"/>
        <v>1</v>
      </c>
      <c r="X124" s="43">
        <f t="shared" si="92"/>
        <v>1</v>
      </c>
      <c r="Y124" s="43">
        <f t="shared" si="92"/>
        <v>1</v>
      </c>
      <c r="Z124" s="43">
        <f t="shared" si="92"/>
        <v>1</v>
      </c>
      <c r="AA124" s="43">
        <f t="shared" si="92"/>
        <v>1</v>
      </c>
      <c r="AB124" s="43">
        <f t="shared" si="93"/>
        <v>1</v>
      </c>
      <c r="AC124" s="43">
        <f t="shared" si="93"/>
        <v>1</v>
      </c>
      <c r="AD124" s="43">
        <f t="shared" si="93"/>
        <v>1</v>
      </c>
      <c r="AE124" s="43">
        <f t="shared" si="93"/>
        <v>1</v>
      </c>
      <c r="AF124" s="43">
        <f t="shared" si="93"/>
        <v>1</v>
      </c>
      <c r="AG124" s="43">
        <f t="shared" si="93"/>
        <v>1</v>
      </c>
      <c r="AH124" s="43">
        <f t="shared" si="93"/>
        <v>1</v>
      </c>
      <c r="AI124" s="43">
        <f t="shared" si="93"/>
        <v>1</v>
      </c>
      <c r="AJ124" s="43">
        <f t="shared" si="93"/>
        <v>1</v>
      </c>
      <c r="AK124" s="43">
        <f t="shared" si="93"/>
        <v>1</v>
      </c>
      <c r="AL124" s="43">
        <f t="shared" si="94"/>
        <v>1</v>
      </c>
      <c r="AM124" s="43">
        <f t="shared" si="94"/>
        <v>1</v>
      </c>
      <c r="AN124" s="43">
        <f t="shared" si="94"/>
        <v>1</v>
      </c>
      <c r="AO124" s="43">
        <f t="shared" si="94"/>
        <v>1</v>
      </c>
      <c r="AP124" s="43">
        <f t="shared" si="94"/>
        <v>1</v>
      </c>
      <c r="AQ124" s="43">
        <f t="shared" si="94"/>
        <v>1</v>
      </c>
      <c r="AR124" s="43">
        <f t="shared" si="94"/>
        <v>1</v>
      </c>
      <c r="AS124" s="43">
        <f t="shared" si="94"/>
        <v>1</v>
      </c>
      <c r="AT124" s="43">
        <f t="shared" si="94"/>
        <v>1</v>
      </c>
      <c r="AU124" s="43">
        <f t="shared" si="94"/>
        <v>1</v>
      </c>
      <c r="AV124" s="43">
        <f t="shared" si="95"/>
        <v>1</v>
      </c>
      <c r="AW124" s="43">
        <f t="shared" si="95"/>
        <v>1</v>
      </c>
      <c r="AX124" s="43">
        <f t="shared" si="95"/>
        <v>1</v>
      </c>
      <c r="AY124" s="43">
        <f t="shared" si="95"/>
        <v>1</v>
      </c>
      <c r="AZ124" s="43">
        <f t="shared" si="95"/>
        <v>1</v>
      </c>
      <c r="BA124" s="43">
        <f t="shared" si="95"/>
        <v>1</v>
      </c>
      <c r="BB124" s="43">
        <f t="shared" si="95"/>
        <v>1</v>
      </c>
      <c r="BC124" s="43">
        <f t="shared" si="95"/>
        <v>1</v>
      </c>
      <c r="BD124" s="43">
        <f t="shared" si="95"/>
        <v>1</v>
      </c>
      <c r="BE124" s="43">
        <f t="shared" si="95"/>
        <v>1</v>
      </c>
      <c r="BF124" s="43">
        <f t="shared" si="96"/>
        <v>1</v>
      </c>
      <c r="BG124" s="43">
        <f t="shared" si="96"/>
        <v>1</v>
      </c>
      <c r="BH124" s="43">
        <f t="shared" si="96"/>
        <v>1</v>
      </c>
      <c r="BI124" s="43">
        <f t="shared" si="96"/>
        <v>1</v>
      </c>
      <c r="BJ124" s="43">
        <f t="shared" si="96"/>
        <v>1</v>
      </c>
      <c r="BK124" s="43">
        <f t="shared" si="96"/>
        <v>1</v>
      </c>
      <c r="BL124" s="43">
        <f t="shared" si="96"/>
        <v>1</v>
      </c>
      <c r="BM124" s="43">
        <f t="shared" si="96"/>
        <v>1</v>
      </c>
      <c r="BN124" s="43">
        <f t="shared" si="96"/>
        <v>1</v>
      </c>
      <c r="BO124" s="43">
        <f t="shared" si="96"/>
        <v>1</v>
      </c>
      <c r="BP124" s="43">
        <f t="shared" si="97"/>
        <v>1</v>
      </c>
      <c r="BQ124" s="43">
        <f t="shared" si="97"/>
        <v>1</v>
      </c>
      <c r="BR124" s="43">
        <f t="shared" si="97"/>
        <v>0</v>
      </c>
      <c r="BS124" s="43">
        <f t="shared" si="97"/>
        <v>0</v>
      </c>
      <c r="BT124" s="43">
        <f t="shared" si="97"/>
        <v>0</v>
      </c>
      <c r="BU124" s="43">
        <f t="shared" si="97"/>
        <v>0</v>
      </c>
      <c r="BV124" s="43">
        <f t="shared" si="97"/>
        <v>0</v>
      </c>
      <c r="BW124" s="43">
        <f t="shared" si="97"/>
        <v>0</v>
      </c>
      <c r="BX124" s="43">
        <f t="shared" si="97"/>
        <v>0</v>
      </c>
      <c r="BY124" s="43">
        <f t="shared" si="97"/>
        <v>0</v>
      </c>
      <c r="BZ124" s="43">
        <f t="shared" si="97"/>
        <v>0</v>
      </c>
      <c r="CA124" s="43">
        <f t="shared" si="97"/>
        <v>0</v>
      </c>
    </row>
    <row r="125" spans="1:79" x14ac:dyDescent="0.25">
      <c r="A125" s="35">
        <v>108</v>
      </c>
      <c r="B125" s="8"/>
      <c r="C125" s="8"/>
      <c r="D125" s="8"/>
      <c r="E125" s="7"/>
      <c r="F125" s="49"/>
      <c r="G125" s="5"/>
      <c r="H125" s="10">
        <f t="shared" si="61"/>
        <v>0</v>
      </c>
      <c r="I125" s="49" t="e">
        <f>VLOOKUP(B125,База!$B$8:$I$52,3,FALSE)*60</f>
        <v>#N/A</v>
      </c>
      <c r="J125" s="35" t="e">
        <f>VLOOKUP(B125,База!$B$8:$I$52,7,FALSE)*I125</f>
        <v>#N/A</v>
      </c>
      <c r="K125" s="35" t="e">
        <f>VLOOKUP(B125,База!$B$8:$I$52,6,FALSE)</f>
        <v>#N/A</v>
      </c>
      <c r="L125" s="35" t="e">
        <f t="shared" si="84"/>
        <v>#N/A</v>
      </c>
      <c r="M125" s="9">
        <f t="shared" si="85"/>
        <v>0</v>
      </c>
      <c r="N125" s="53">
        <f t="shared" si="74"/>
        <v>612.23658315042314</v>
      </c>
      <c r="O125" s="53">
        <f t="shared" si="75"/>
        <v>612.23658315042314</v>
      </c>
      <c r="P125" s="53">
        <f t="shared" si="76"/>
        <v>0</v>
      </c>
      <c r="Q125" s="53">
        <f t="shared" si="77"/>
        <v>612.23658315042314</v>
      </c>
      <c r="R125" s="43">
        <f t="shared" si="92"/>
        <v>1</v>
      </c>
      <c r="S125" s="43">
        <f t="shared" si="92"/>
        <v>1</v>
      </c>
      <c r="T125" s="43">
        <f t="shared" si="92"/>
        <v>1</v>
      </c>
      <c r="U125" s="43">
        <f t="shared" si="92"/>
        <v>1</v>
      </c>
      <c r="V125" s="43">
        <f t="shared" si="92"/>
        <v>1</v>
      </c>
      <c r="W125" s="43">
        <f t="shared" si="92"/>
        <v>1</v>
      </c>
      <c r="X125" s="43">
        <f t="shared" si="92"/>
        <v>1</v>
      </c>
      <c r="Y125" s="43">
        <f t="shared" si="92"/>
        <v>1</v>
      </c>
      <c r="Z125" s="43">
        <f t="shared" si="92"/>
        <v>1</v>
      </c>
      <c r="AA125" s="43">
        <f t="shared" si="92"/>
        <v>1</v>
      </c>
      <c r="AB125" s="43">
        <f t="shared" si="93"/>
        <v>1</v>
      </c>
      <c r="AC125" s="43">
        <f t="shared" si="93"/>
        <v>1</v>
      </c>
      <c r="AD125" s="43">
        <f t="shared" si="93"/>
        <v>1</v>
      </c>
      <c r="AE125" s="43">
        <f t="shared" si="93"/>
        <v>1</v>
      </c>
      <c r="AF125" s="43">
        <f t="shared" si="93"/>
        <v>1</v>
      </c>
      <c r="AG125" s="43">
        <f t="shared" si="93"/>
        <v>1</v>
      </c>
      <c r="AH125" s="43">
        <f t="shared" si="93"/>
        <v>1</v>
      </c>
      <c r="AI125" s="43">
        <f t="shared" si="93"/>
        <v>1</v>
      </c>
      <c r="AJ125" s="43">
        <f t="shared" si="93"/>
        <v>1</v>
      </c>
      <c r="AK125" s="43">
        <f t="shared" si="93"/>
        <v>1</v>
      </c>
      <c r="AL125" s="43">
        <f t="shared" si="94"/>
        <v>1</v>
      </c>
      <c r="AM125" s="43">
        <f t="shared" si="94"/>
        <v>1</v>
      </c>
      <c r="AN125" s="43">
        <f t="shared" si="94"/>
        <v>1</v>
      </c>
      <c r="AO125" s="43">
        <f t="shared" si="94"/>
        <v>1</v>
      </c>
      <c r="AP125" s="43">
        <f t="shared" si="94"/>
        <v>1</v>
      </c>
      <c r="AQ125" s="43">
        <f t="shared" si="94"/>
        <v>1</v>
      </c>
      <c r="AR125" s="43">
        <f t="shared" si="94"/>
        <v>1</v>
      </c>
      <c r="AS125" s="43">
        <f t="shared" si="94"/>
        <v>1</v>
      </c>
      <c r="AT125" s="43">
        <f t="shared" si="94"/>
        <v>1</v>
      </c>
      <c r="AU125" s="43">
        <f t="shared" si="94"/>
        <v>1</v>
      </c>
      <c r="AV125" s="43">
        <f t="shared" si="95"/>
        <v>1</v>
      </c>
      <c r="AW125" s="43">
        <f t="shared" si="95"/>
        <v>1</v>
      </c>
      <c r="AX125" s="43">
        <f t="shared" si="95"/>
        <v>1</v>
      </c>
      <c r="AY125" s="43">
        <f t="shared" si="95"/>
        <v>1</v>
      </c>
      <c r="AZ125" s="43">
        <f t="shared" si="95"/>
        <v>1</v>
      </c>
      <c r="BA125" s="43">
        <f t="shared" si="95"/>
        <v>1</v>
      </c>
      <c r="BB125" s="43">
        <f t="shared" si="95"/>
        <v>1</v>
      </c>
      <c r="BC125" s="43">
        <f t="shared" si="95"/>
        <v>1</v>
      </c>
      <c r="BD125" s="43">
        <f t="shared" si="95"/>
        <v>1</v>
      </c>
      <c r="BE125" s="43">
        <f t="shared" si="95"/>
        <v>1</v>
      </c>
      <c r="BF125" s="43">
        <f t="shared" si="96"/>
        <v>1</v>
      </c>
      <c r="BG125" s="43">
        <f t="shared" si="96"/>
        <v>1</v>
      </c>
      <c r="BH125" s="43">
        <f t="shared" si="96"/>
        <v>1</v>
      </c>
      <c r="BI125" s="43">
        <f t="shared" si="96"/>
        <v>1</v>
      </c>
      <c r="BJ125" s="43">
        <f t="shared" si="96"/>
        <v>1</v>
      </c>
      <c r="BK125" s="43">
        <f t="shared" si="96"/>
        <v>1</v>
      </c>
      <c r="BL125" s="43">
        <f t="shared" si="96"/>
        <v>1</v>
      </c>
      <c r="BM125" s="43">
        <f t="shared" si="96"/>
        <v>1</v>
      </c>
      <c r="BN125" s="43">
        <f t="shared" si="96"/>
        <v>1</v>
      </c>
      <c r="BO125" s="43">
        <f t="shared" si="96"/>
        <v>1</v>
      </c>
      <c r="BP125" s="43">
        <f t="shared" si="97"/>
        <v>1</v>
      </c>
      <c r="BQ125" s="43">
        <f t="shared" si="97"/>
        <v>1</v>
      </c>
      <c r="BR125" s="43">
        <f t="shared" si="97"/>
        <v>0</v>
      </c>
      <c r="BS125" s="43">
        <f t="shared" si="97"/>
        <v>0</v>
      </c>
      <c r="BT125" s="43">
        <f t="shared" si="97"/>
        <v>0</v>
      </c>
      <c r="BU125" s="43">
        <f t="shared" si="97"/>
        <v>0</v>
      </c>
      <c r="BV125" s="43">
        <f t="shared" si="97"/>
        <v>0</v>
      </c>
      <c r="BW125" s="43">
        <f t="shared" si="97"/>
        <v>0</v>
      </c>
      <c r="BX125" s="43">
        <f t="shared" si="97"/>
        <v>0</v>
      </c>
      <c r="BY125" s="43">
        <f t="shared" si="97"/>
        <v>0</v>
      </c>
      <c r="BZ125" s="43">
        <f t="shared" si="97"/>
        <v>0</v>
      </c>
      <c r="CA125" s="43">
        <f t="shared" si="97"/>
        <v>0</v>
      </c>
    </row>
    <row r="126" spans="1:79" x14ac:dyDescent="0.25">
      <c r="A126" s="35">
        <v>109</v>
      </c>
      <c r="B126" s="8"/>
      <c r="C126" s="8"/>
      <c r="D126" s="8"/>
      <c r="E126" s="7"/>
      <c r="F126" s="49"/>
      <c r="G126" s="5"/>
      <c r="H126" s="10">
        <f t="shared" si="61"/>
        <v>0</v>
      </c>
      <c r="I126" s="49" t="e">
        <f>VLOOKUP(B126,База!$B$8:$I$52,3,FALSE)*60</f>
        <v>#N/A</v>
      </c>
      <c r="J126" s="35" t="e">
        <f>VLOOKUP(B126,База!$B$8:$I$52,7,FALSE)*I126</f>
        <v>#N/A</v>
      </c>
      <c r="K126" s="35" t="e">
        <f>VLOOKUP(B126,База!$B$8:$I$52,6,FALSE)</f>
        <v>#N/A</v>
      </c>
      <c r="L126" s="35" t="e">
        <f t="shared" si="84"/>
        <v>#N/A</v>
      </c>
      <c r="M126" s="9">
        <f t="shared" si="85"/>
        <v>0</v>
      </c>
      <c r="N126" s="53">
        <f t="shared" si="74"/>
        <v>612.23658315042314</v>
      </c>
      <c r="O126" s="53">
        <f t="shared" si="75"/>
        <v>612.23658315042314</v>
      </c>
      <c r="P126" s="53">
        <f t="shared" si="76"/>
        <v>0</v>
      </c>
      <c r="Q126" s="53">
        <f t="shared" si="77"/>
        <v>612.23658315042314</v>
      </c>
      <c r="R126" s="43">
        <f t="shared" si="92"/>
        <v>1</v>
      </c>
      <c r="S126" s="43">
        <f t="shared" si="92"/>
        <v>1</v>
      </c>
      <c r="T126" s="43">
        <f t="shared" si="92"/>
        <v>1</v>
      </c>
      <c r="U126" s="43">
        <f t="shared" si="92"/>
        <v>1</v>
      </c>
      <c r="V126" s="43">
        <f t="shared" si="92"/>
        <v>1</v>
      </c>
      <c r="W126" s="43">
        <f t="shared" si="92"/>
        <v>1</v>
      </c>
      <c r="X126" s="43">
        <f t="shared" si="92"/>
        <v>1</v>
      </c>
      <c r="Y126" s="43">
        <f t="shared" si="92"/>
        <v>1</v>
      </c>
      <c r="Z126" s="43">
        <f t="shared" si="92"/>
        <v>1</v>
      </c>
      <c r="AA126" s="43">
        <f t="shared" si="92"/>
        <v>1</v>
      </c>
      <c r="AB126" s="43">
        <f t="shared" si="93"/>
        <v>1</v>
      </c>
      <c r="AC126" s="43">
        <f t="shared" si="93"/>
        <v>1</v>
      </c>
      <c r="AD126" s="43">
        <f t="shared" si="93"/>
        <v>1</v>
      </c>
      <c r="AE126" s="43">
        <f t="shared" si="93"/>
        <v>1</v>
      </c>
      <c r="AF126" s="43">
        <f t="shared" si="93"/>
        <v>1</v>
      </c>
      <c r="AG126" s="43">
        <f t="shared" si="93"/>
        <v>1</v>
      </c>
      <c r="AH126" s="43">
        <f t="shared" si="93"/>
        <v>1</v>
      </c>
      <c r="AI126" s="43">
        <f t="shared" si="93"/>
        <v>1</v>
      </c>
      <c r="AJ126" s="43">
        <f t="shared" si="93"/>
        <v>1</v>
      </c>
      <c r="AK126" s="43">
        <f t="shared" si="93"/>
        <v>1</v>
      </c>
      <c r="AL126" s="43">
        <f t="shared" si="94"/>
        <v>1</v>
      </c>
      <c r="AM126" s="43">
        <f t="shared" si="94"/>
        <v>1</v>
      </c>
      <c r="AN126" s="43">
        <f t="shared" si="94"/>
        <v>1</v>
      </c>
      <c r="AO126" s="43">
        <f t="shared" si="94"/>
        <v>1</v>
      </c>
      <c r="AP126" s="43">
        <f t="shared" si="94"/>
        <v>1</v>
      </c>
      <c r="AQ126" s="43">
        <f t="shared" si="94"/>
        <v>1</v>
      </c>
      <c r="AR126" s="43">
        <f t="shared" si="94"/>
        <v>1</v>
      </c>
      <c r="AS126" s="43">
        <f t="shared" si="94"/>
        <v>1</v>
      </c>
      <c r="AT126" s="43">
        <f t="shared" si="94"/>
        <v>1</v>
      </c>
      <c r="AU126" s="43">
        <f t="shared" si="94"/>
        <v>1</v>
      </c>
      <c r="AV126" s="43">
        <f t="shared" si="95"/>
        <v>1</v>
      </c>
      <c r="AW126" s="43">
        <f t="shared" si="95"/>
        <v>1</v>
      </c>
      <c r="AX126" s="43">
        <f t="shared" si="95"/>
        <v>1</v>
      </c>
      <c r="AY126" s="43">
        <f t="shared" si="95"/>
        <v>1</v>
      </c>
      <c r="AZ126" s="43">
        <f t="shared" si="95"/>
        <v>1</v>
      </c>
      <c r="BA126" s="43">
        <f t="shared" si="95"/>
        <v>1</v>
      </c>
      <c r="BB126" s="43">
        <f t="shared" si="95"/>
        <v>1</v>
      </c>
      <c r="BC126" s="43">
        <f t="shared" si="95"/>
        <v>1</v>
      </c>
      <c r="BD126" s="43">
        <f t="shared" si="95"/>
        <v>1</v>
      </c>
      <c r="BE126" s="43">
        <f t="shared" si="95"/>
        <v>1</v>
      </c>
      <c r="BF126" s="43">
        <f t="shared" si="96"/>
        <v>1</v>
      </c>
      <c r="BG126" s="43">
        <f t="shared" si="96"/>
        <v>1</v>
      </c>
      <c r="BH126" s="43">
        <f t="shared" si="96"/>
        <v>1</v>
      </c>
      <c r="BI126" s="43">
        <f t="shared" si="96"/>
        <v>1</v>
      </c>
      <c r="BJ126" s="43">
        <f t="shared" si="96"/>
        <v>1</v>
      </c>
      <c r="BK126" s="43">
        <f t="shared" si="96"/>
        <v>1</v>
      </c>
      <c r="BL126" s="43">
        <f t="shared" si="96"/>
        <v>1</v>
      </c>
      <c r="BM126" s="43">
        <f t="shared" si="96"/>
        <v>1</v>
      </c>
      <c r="BN126" s="43">
        <f t="shared" si="96"/>
        <v>1</v>
      </c>
      <c r="BO126" s="43">
        <f t="shared" si="96"/>
        <v>1</v>
      </c>
      <c r="BP126" s="43">
        <f t="shared" si="97"/>
        <v>1</v>
      </c>
      <c r="BQ126" s="43">
        <f t="shared" si="97"/>
        <v>1</v>
      </c>
      <c r="BR126" s="43">
        <f t="shared" si="97"/>
        <v>0</v>
      </c>
      <c r="BS126" s="43">
        <f t="shared" si="97"/>
        <v>0</v>
      </c>
      <c r="BT126" s="43">
        <f t="shared" si="97"/>
        <v>0</v>
      </c>
      <c r="BU126" s="43">
        <f t="shared" si="97"/>
        <v>0</v>
      </c>
      <c r="BV126" s="43">
        <f t="shared" si="97"/>
        <v>0</v>
      </c>
      <c r="BW126" s="43">
        <f t="shared" si="97"/>
        <v>0</v>
      </c>
      <c r="BX126" s="43">
        <f t="shared" si="97"/>
        <v>0</v>
      </c>
      <c r="BY126" s="43">
        <f t="shared" si="97"/>
        <v>0</v>
      </c>
      <c r="BZ126" s="43">
        <f t="shared" si="97"/>
        <v>0</v>
      </c>
      <c r="CA126" s="43">
        <f t="shared" si="97"/>
        <v>0</v>
      </c>
    </row>
    <row r="127" spans="1:79" x14ac:dyDescent="0.25">
      <c r="A127" s="35">
        <v>110</v>
      </c>
      <c r="B127" s="8"/>
      <c r="C127" s="8"/>
      <c r="D127" s="8"/>
      <c r="E127" s="7"/>
      <c r="F127" s="49"/>
      <c r="G127" s="5"/>
      <c r="H127" s="10">
        <f t="shared" si="61"/>
        <v>0</v>
      </c>
      <c r="I127" s="49" t="e">
        <f>VLOOKUP(B127,База!$B$8:$I$52,3,FALSE)*60</f>
        <v>#N/A</v>
      </c>
      <c r="J127" s="35" t="e">
        <f>VLOOKUP(B127,База!$B$8:$I$52,7,FALSE)*I127</f>
        <v>#N/A</v>
      </c>
      <c r="K127" s="35" t="e">
        <f>VLOOKUP(B127,База!$B$8:$I$52,6,FALSE)</f>
        <v>#N/A</v>
      </c>
      <c r="L127" s="35" t="e">
        <f t="shared" si="84"/>
        <v>#N/A</v>
      </c>
      <c r="M127" s="9">
        <f t="shared" si="85"/>
        <v>0</v>
      </c>
      <c r="N127" s="53">
        <f t="shared" si="74"/>
        <v>612.23658315042314</v>
      </c>
      <c r="O127" s="53">
        <f t="shared" si="75"/>
        <v>612.23658315042314</v>
      </c>
      <c r="P127" s="53">
        <f t="shared" si="76"/>
        <v>0</v>
      </c>
      <c r="Q127" s="53">
        <f t="shared" si="77"/>
        <v>612.23658315042314</v>
      </c>
      <c r="R127" s="43">
        <f t="shared" si="92"/>
        <v>1</v>
      </c>
      <c r="S127" s="43">
        <f t="shared" si="92"/>
        <v>1</v>
      </c>
      <c r="T127" s="43">
        <f t="shared" si="92"/>
        <v>1</v>
      </c>
      <c r="U127" s="43">
        <f t="shared" si="92"/>
        <v>1</v>
      </c>
      <c r="V127" s="43">
        <f t="shared" si="92"/>
        <v>1</v>
      </c>
      <c r="W127" s="43">
        <f t="shared" si="92"/>
        <v>1</v>
      </c>
      <c r="X127" s="43">
        <f t="shared" si="92"/>
        <v>1</v>
      </c>
      <c r="Y127" s="43">
        <f t="shared" si="92"/>
        <v>1</v>
      </c>
      <c r="Z127" s="43">
        <f t="shared" si="92"/>
        <v>1</v>
      </c>
      <c r="AA127" s="43">
        <f t="shared" si="92"/>
        <v>1</v>
      </c>
      <c r="AB127" s="43">
        <f t="shared" si="93"/>
        <v>1</v>
      </c>
      <c r="AC127" s="43">
        <f t="shared" si="93"/>
        <v>1</v>
      </c>
      <c r="AD127" s="43">
        <f t="shared" si="93"/>
        <v>1</v>
      </c>
      <c r="AE127" s="43">
        <f t="shared" si="93"/>
        <v>1</v>
      </c>
      <c r="AF127" s="43">
        <f t="shared" si="93"/>
        <v>1</v>
      </c>
      <c r="AG127" s="43">
        <f t="shared" si="93"/>
        <v>1</v>
      </c>
      <c r="AH127" s="43">
        <f t="shared" si="93"/>
        <v>1</v>
      </c>
      <c r="AI127" s="43">
        <f t="shared" si="93"/>
        <v>1</v>
      </c>
      <c r="AJ127" s="43">
        <f t="shared" si="93"/>
        <v>1</v>
      </c>
      <c r="AK127" s="43">
        <f t="shared" si="93"/>
        <v>1</v>
      </c>
      <c r="AL127" s="43">
        <f t="shared" si="94"/>
        <v>1</v>
      </c>
      <c r="AM127" s="43">
        <f t="shared" si="94"/>
        <v>1</v>
      </c>
      <c r="AN127" s="43">
        <f t="shared" si="94"/>
        <v>1</v>
      </c>
      <c r="AO127" s="43">
        <f t="shared" si="94"/>
        <v>1</v>
      </c>
      <c r="AP127" s="43">
        <f t="shared" si="94"/>
        <v>1</v>
      </c>
      <c r="AQ127" s="43">
        <f t="shared" si="94"/>
        <v>1</v>
      </c>
      <c r="AR127" s="43">
        <f t="shared" si="94"/>
        <v>1</v>
      </c>
      <c r="AS127" s="43">
        <f t="shared" si="94"/>
        <v>1</v>
      </c>
      <c r="AT127" s="43">
        <f t="shared" si="94"/>
        <v>1</v>
      </c>
      <c r="AU127" s="43">
        <f t="shared" si="94"/>
        <v>1</v>
      </c>
      <c r="AV127" s="43">
        <f t="shared" si="95"/>
        <v>1</v>
      </c>
      <c r="AW127" s="43">
        <f t="shared" si="95"/>
        <v>1</v>
      </c>
      <c r="AX127" s="43">
        <f t="shared" si="95"/>
        <v>1</v>
      </c>
      <c r="AY127" s="43">
        <f t="shared" si="95"/>
        <v>1</v>
      </c>
      <c r="AZ127" s="43">
        <f t="shared" si="95"/>
        <v>1</v>
      </c>
      <c r="BA127" s="43">
        <f t="shared" si="95"/>
        <v>1</v>
      </c>
      <c r="BB127" s="43">
        <f t="shared" si="95"/>
        <v>1</v>
      </c>
      <c r="BC127" s="43">
        <f t="shared" si="95"/>
        <v>1</v>
      </c>
      <c r="BD127" s="43">
        <f t="shared" si="95"/>
        <v>1</v>
      </c>
      <c r="BE127" s="43">
        <f t="shared" si="95"/>
        <v>1</v>
      </c>
      <c r="BF127" s="43">
        <f t="shared" si="96"/>
        <v>1</v>
      </c>
      <c r="BG127" s="43">
        <f t="shared" si="96"/>
        <v>1</v>
      </c>
      <c r="BH127" s="43">
        <f t="shared" si="96"/>
        <v>1</v>
      </c>
      <c r="BI127" s="43">
        <f t="shared" si="96"/>
        <v>1</v>
      </c>
      <c r="BJ127" s="43">
        <f t="shared" si="96"/>
        <v>1</v>
      </c>
      <c r="BK127" s="43">
        <f t="shared" si="96"/>
        <v>1</v>
      </c>
      <c r="BL127" s="43">
        <f t="shared" si="96"/>
        <v>1</v>
      </c>
      <c r="BM127" s="43">
        <f t="shared" si="96"/>
        <v>1</v>
      </c>
      <c r="BN127" s="43">
        <f t="shared" si="96"/>
        <v>1</v>
      </c>
      <c r="BO127" s="43">
        <f t="shared" si="96"/>
        <v>1</v>
      </c>
      <c r="BP127" s="43">
        <f t="shared" si="97"/>
        <v>1</v>
      </c>
      <c r="BQ127" s="43">
        <f t="shared" si="97"/>
        <v>1</v>
      </c>
      <c r="BR127" s="43">
        <f t="shared" si="97"/>
        <v>0</v>
      </c>
      <c r="BS127" s="43">
        <f t="shared" si="97"/>
        <v>0</v>
      </c>
      <c r="BT127" s="43">
        <f t="shared" si="97"/>
        <v>0</v>
      </c>
      <c r="BU127" s="43">
        <f t="shared" si="97"/>
        <v>0</v>
      </c>
      <c r="BV127" s="43">
        <f t="shared" si="97"/>
        <v>0</v>
      </c>
      <c r="BW127" s="43">
        <f t="shared" si="97"/>
        <v>0</v>
      </c>
      <c r="BX127" s="43">
        <f t="shared" si="97"/>
        <v>0</v>
      </c>
      <c r="BY127" s="43">
        <f t="shared" si="97"/>
        <v>0</v>
      </c>
      <c r="BZ127" s="43">
        <f t="shared" si="97"/>
        <v>0</v>
      </c>
      <c r="CA127" s="43">
        <f t="shared" si="97"/>
        <v>0</v>
      </c>
    </row>
    <row r="128" spans="1:79" x14ac:dyDescent="0.25">
      <c r="A128" s="35">
        <v>111</v>
      </c>
      <c r="B128" s="8"/>
      <c r="C128" s="8"/>
      <c r="D128" s="8"/>
      <c r="E128" s="7"/>
      <c r="F128" s="49"/>
      <c r="G128" s="5"/>
      <c r="H128" s="10">
        <f t="shared" si="61"/>
        <v>0</v>
      </c>
      <c r="I128" s="49" t="e">
        <f>VLOOKUP(B128,База!$B$8:$I$52,3,FALSE)*60</f>
        <v>#N/A</v>
      </c>
      <c r="J128" s="35" t="e">
        <f>VLOOKUP(B128,База!$B$8:$I$52,7,FALSE)*I128</f>
        <v>#N/A</v>
      </c>
      <c r="K128" s="35" t="e">
        <f>VLOOKUP(B128,База!$B$8:$I$52,6,FALSE)</f>
        <v>#N/A</v>
      </c>
      <c r="L128" s="35" t="e">
        <f t="shared" si="84"/>
        <v>#N/A</v>
      </c>
      <c r="M128" s="9">
        <f t="shared" si="85"/>
        <v>0</v>
      </c>
      <c r="N128" s="53">
        <f t="shared" si="74"/>
        <v>612.23658315042314</v>
      </c>
      <c r="O128" s="53">
        <f t="shared" si="75"/>
        <v>612.23658315042314</v>
      </c>
      <c r="P128" s="53">
        <f t="shared" si="76"/>
        <v>0</v>
      </c>
      <c r="Q128" s="53">
        <f t="shared" si="77"/>
        <v>612.23658315042314</v>
      </c>
      <c r="R128" s="43">
        <f t="shared" si="92"/>
        <v>1</v>
      </c>
      <c r="S128" s="43">
        <f t="shared" si="92"/>
        <v>1</v>
      </c>
      <c r="T128" s="43">
        <f t="shared" si="92"/>
        <v>1</v>
      </c>
      <c r="U128" s="43">
        <f t="shared" si="92"/>
        <v>1</v>
      </c>
      <c r="V128" s="43">
        <f t="shared" si="92"/>
        <v>1</v>
      </c>
      <c r="W128" s="43">
        <f t="shared" si="92"/>
        <v>1</v>
      </c>
      <c r="X128" s="43">
        <f t="shared" si="92"/>
        <v>1</v>
      </c>
      <c r="Y128" s="43">
        <f t="shared" si="92"/>
        <v>1</v>
      </c>
      <c r="Z128" s="43">
        <f t="shared" si="92"/>
        <v>1</v>
      </c>
      <c r="AA128" s="43">
        <f t="shared" si="92"/>
        <v>1</v>
      </c>
      <c r="AB128" s="43">
        <f t="shared" si="93"/>
        <v>1</v>
      </c>
      <c r="AC128" s="43">
        <f t="shared" si="93"/>
        <v>1</v>
      </c>
      <c r="AD128" s="43">
        <f t="shared" si="93"/>
        <v>1</v>
      </c>
      <c r="AE128" s="43">
        <f t="shared" si="93"/>
        <v>1</v>
      </c>
      <c r="AF128" s="43">
        <f t="shared" si="93"/>
        <v>1</v>
      </c>
      <c r="AG128" s="43">
        <f t="shared" si="93"/>
        <v>1</v>
      </c>
      <c r="AH128" s="43">
        <f t="shared" si="93"/>
        <v>1</v>
      </c>
      <c r="AI128" s="43">
        <f t="shared" si="93"/>
        <v>1</v>
      </c>
      <c r="AJ128" s="43">
        <f t="shared" si="93"/>
        <v>1</v>
      </c>
      <c r="AK128" s="43">
        <f t="shared" si="93"/>
        <v>1</v>
      </c>
      <c r="AL128" s="43">
        <f t="shared" si="94"/>
        <v>1</v>
      </c>
      <c r="AM128" s="43">
        <f t="shared" si="94"/>
        <v>1</v>
      </c>
      <c r="AN128" s="43">
        <f t="shared" si="94"/>
        <v>1</v>
      </c>
      <c r="AO128" s="43">
        <f t="shared" si="94"/>
        <v>1</v>
      </c>
      <c r="AP128" s="43">
        <f t="shared" si="94"/>
        <v>1</v>
      </c>
      <c r="AQ128" s="43">
        <f t="shared" si="94"/>
        <v>1</v>
      </c>
      <c r="AR128" s="43">
        <f t="shared" si="94"/>
        <v>1</v>
      </c>
      <c r="AS128" s="43">
        <f t="shared" si="94"/>
        <v>1</v>
      </c>
      <c r="AT128" s="43">
        <f t="shared" si="94"/>
        <v>1</v>
      </c>
      <c r="AU128" s="43">
        <f t="shared" si="94"/>
        <v>1</v>
      </c>
      <c r="AV128" s="43">
        <f t="shared" si="95"/>
        <v>1</v>
      </c>
      <c r="AW128" s="43">
        <f t="shared" si="95"/>
        <v>1</v>
      </c>
      <c r="AX128" s="43">
        <f t="shared" si="95"/>
        <v>1</v>
      </c>
      <c r="AY128" s="43">
        <f t="shared" si="95"/>
        <v>1</v>
      </c>
      <c r="AZ128" s="43">
        <f t="shared" si="95"/>
        <v>1</v>
      </c>
      <c r="BA128" s="43">
        <f t="shared" si="95"/>
        <v>1</v>
      </c>
      <c r="BB128" s="43">
        <f t="shared" si="95"/>
        <v>1</v>
      </c>
      <c r="BC128" s="43">
        <f t="shared" si="95"/>
        <v>1</v>
      </c>
      <c r="BD128" s="43">
        <f t="shared" si="95"/>
        <v>1</v>
      </c>
      <c r="BE128" s="43">
        <f t="shared" si="95"/>
        <v>1</v>
      </c>
      <c r="BF128" s="43">
        <f t="shared" si="96"/>
        <v>1</v>
      </c>
      <c r="BG128" s="43">
        <f t="shared" si="96"/>
        <v>1</v>
      </c>
      <c r="BH128" s="43">
        <f t="shared" si="96"/>
        <v>1</v>
      </c>
      <c r="BI128" s="43">
        <f t="shared" si="96"/>
        <v>1</v>
      </c>
      <c r="BJ128" s="43">
        <f t="shared" si="96"/>
        <v>1</v>
      </c>
      <c r="BK128" s="43">
        <f t="shared" si="96"/>
        <v>1</v>
      </c>
      <c r="BL128" s="43">
        <f t="shared" si="96"/>
        <v>1</v>
      </c>
      <c r="BM128" s="43">
        <f t="shared" si="96"/>
        <v>1</v>
      </c>
      <c r="BN128" s="43">
        <f t="shared" si="96"/>
        <v>1</v>
      </c>
      <c r="BO128" s="43">
        <f t="shared" si="96"/>
        <v>1</v>
      </c>
      <c r="BP128" s="43">
        <f t="shared" si="97"/>
        <v>1</v>
      </c>
      <c r="BQ128" s="43">
        <f t="shared" si="97"/>
        <v>1</v>
      </c>
      <c r="BR128" s="43">
        <f t="shared" si="97"/>
        <v>0</v>
      </c>
      <c r="BS128" s="43">
        <f t="shared" si="97"/>
        <v>0</v>
      </c>
      <c r="BT128" s="43">
        <f t="shared" si="97"/>
        <v>0</v>
      </c>
      <c r="BU128" s="43">
        <f t="shared" si="97"/>
        <v>0</v>
      </c>
      <c r="BV128" s="43">
        <f t="shared" si="97"/>
        <v>0</v>
      </c>
      <c r="BW128" s="43">
        <f t="shared" si="97"/>
        <v>0</v>
      </c>
      <c r="BX128" s="43">
        <f t="shared" si="97"/>
        <v>0</v>
      </c>
      <c r="BY128" s="43">
        <f t="shared" si="97"/>
        <v>0</v>
      </c>
      <c r="BZ128" s="43">
        <f t="shared" si="97"/>
        <v>0</v>
      </c>
      <c r="CA128" s="43">
        <f t="shared" si="97"/>
        <v>0</v>
      </c>
    </row>
    <row r="129" spans="1:79" x14ac:dyDescent="0.25">
      <c r="A129" s="35">
        <v>112</v>
      </c>
      <c r="B129" s="8"/>
      <c r="C129" s="8"/>
      <c r="D129" s="8"/>
      <c r="E129" s="7"/>
      <c r="F129" s="49"/>
      <c r="G129" s="5"/>
      <c r="H129" s="10">
        <f t="shared" si="61"/>
        <v>0</v>
      </c>
      <c r="I129" s="49" t="e">
        <f>VLOOKUP(B129,База!$B$8:$I$52,3,FALSE)*60</f>
        <v>#N/A</v>
      </c>
      <c r="J129" s="35" t="e">
        <f>VLOOKUP(B129,База!$B$8:$I$52,7,FALSE)*I129</f>
        <v>#N/A</v>
      </c>
      <c r="K129" s="35" t="e">
        <f>VLOOKUP(B129,База!$B$8:$I$52,6,FALSE)</f>
        <v>#N/A</v>
      </c>
      <c r="L129" s="35" t="e">
        <f t="shared" si="84"/>
        <v>#N/A</v>
      </c>
      <c r="M129" s="9">
        <f t="shared" si="85"/>
        <v>0</v>
      </c>
      <c r="N129" s="53">
        <f t="shared" ref="N129:N139" si="98">Q128</f>
        <v>612.23658315042314</v>
      </c>
      <c r="O129" s="53">
        <f t="shared" ref="O129:O139" si="99">N129+M129</f>
        <v>612.23658315042314</v>
      </c>
      <c r="P129" s="53">
        <f t="shared" ref="P129:P139" si="100">O129-N129</f>
        <v>0</v>
      </c>
      <c r="Q129" s="53">
        <f t="shared" ref="Q129:Q139" si="101">Q128+P129</f>
        <v>612.23658315042314</v>
      </c>
      <c r="R129" s="43">
        <f t="shared" si="92"/>
        <v>1</v>
      </c>
      <c r="S129" s="43">
        <f t="shared" si="92"/>
        <v>1</v>
      </c>
      <c r="T129" s="43">
        <f t="shared" si="92"/>
        <v>1</v>
      </c>
      <c r="U129" s="43">
        <f t="shared" si="92"/>
        <v>1</v>
      </c>
      <c r="V129" s="43">
        <f t="shared" si="92"/>
        <v>1</v>
      </c>
      <c r="W129" s="43">
        <f t="shared" si="92"/>
        <v>1</v>
      </c>
      <c r="X129" s="43">
        <f t="shared" si="92"/>
        <v>1</v>
      </c>
      <c r="Y129" s="43">
        <f t="shared" si="92"/>
        <v>1</v>
      </c>
      <c r="Z129" s="43">
        <f t="shared" si="92"/>
        <v>1</v>
      </c>
      <c r="AA129" s="43">
        <f t="shared" si="92"/>
        <v>1</v>
      </c>
      <c r="AB129" s="43">
        <f t="shared" si="93"/>
        <v>1</v>
      </c>
      <c r="AC129" s="43">
        <f t="shared" si="93"/>
        <v>1</v>
      </c>
      <c r="AD129" s="43">
        <f t="shared" si="93"/>
        <v>1</v>
      </c>
      <c r="AE129" s="43">
        <f t="shared" si="93"/>
        <v>1</v>
      </c>
      <c r="AF129" s="43">
        <f t="shared" si="93"/>
        <v>1</v>
      </c>
      <c r="AG129" s="43">
        <f t="shared" si="93"/>
        <v>1</v>
      </c>
      <c r="AH129" s="43">
        <f t="shared" si="93"/>
        <v>1</v>
      </c>
      <c r="AI129" s="43">
        <f t="shared" si="93"/>
        <v>1</v>
      </c>
      <c r="AJ129" s="43">
        <f t="shared" si="93"/>
        <v>1</v>
      </c>
      <c r="AK129" s="43">
        <f t="shared" si="93"/>
        <v>1</v>
      </c>
      <c r="AL129" s="43">
        <f t="shared" si="94"/>
        <v>1</v>
      </c>
      <c r="AM129" s="43">
        <f t="shared" si="94"/>
        <v>1</v>
      </c>
      <c r="AN129" s="43">
        <f t="shared" si="94"/>
        <v>1</v>
      </c>
      <c r="AO129" s="43">
        <f t="shared" si="94"/>
        <v>1</v>
      </c>
      <c r="AP129" s="43">
        <f t="shared" si="94"/>
        <v>1</v>
      </c>
      <c r="AQ129" s="43">
        <f t="shared" si="94"/>
        <v>1</v>
      </c>
      <c r="AR129" s="43">
        <f t="shared" si="94"/>
        <v>1</v>
      </c>
      <c r="AS129" s="43">
        <f t="shared" si="94"/>
        <v>1</v>
      </c>
      <c r="AT129" s="43">
        <f t="shared" si="94"/>
        <v>1</v>
      </c>
      <c r="AU129" s="43">
        <f t="shared" si="94"/>
        <v>1</v>
      </c>
      <c r="AV129" s="43">
        <f t="shared" si="95"/>
        <v>1</v>
      </c>
      <c r="AW129" s="43">
        <f t="shared" si="95"/>
        <v>1</v>
      </c>
      <c r="AX129" s="43">
        <f t="shared" si="95"/>
        <v>1</v>
      </c>
      <c r="AY129" s="43">
        <f t="shared" si="95"/>
        <v>1</v>
      </c>
      <c r="AZ129" s="43">
        <f t="shared" si="95"/>
        <v>1</v>
      </c>
      <c r="BA129" s="43">
        <f t="shared" si="95"/>
        <v>1</v>
      </c>
      <c r="BB129" s="43">
        <f t="shared" si="95"/>
        <v>1</v>
      </c>
      <c r="BC129" s="43">
        <f t="shared" si="95"/>
        <v>1</v>
      </c>
      <c r="BD129" s="43">
        <f t="shared" si="95"/>
        <v>1</v>
      </c>
      <c r="BE129" s="43">
        <f t="shared" si="95"/>
        <v>1</v>
      </c>
      <c r="BF129" s="43">
        <f t="shared" si="96"/>
        <v>1</v>
      </c>
      <c r="BG129" s="43">
        <f t="shared" si="96"/>
        <v>1</v>
      </c>
      <c r="BH129" s="43">
        <f t="shared" si="96"/>
        <v>1</v>
      </c>
      <c r="BI129" s="43">
        <f t="shared" si="96"/>
        <v>1</v>
      </c>
      <c r="BJ129" s="43">
        <f t="shared" si="96"/>
        <v>1</v>
      </c>
      <c r="BK129" s="43">
        <f t="shared" si="96"/>
        <v>1</v>
      </c>
      <c r="BL129" s="43">
        <f t="shared" si="96"/>
        <v>1</v>
      </c>
      <c r="BM129" s="43">
        <f t="shared" si="96"/>
        <v>1</v>
      </c>
      <c r="BN129" s="43">
        <f t="shared" si="96"/>
        <v>1</v>
      </c>
      <c r="BO129" s="43">
        <f t="shared" si="96"/>
        <v>1</v>
      </c>
      <c r="BP129" s="43">
        <f t="shared" si="97"/>
        <v>1</v>
      </c>
      <c r="BQ129" s="43">
        <f t="shared" si="97"/>
        <v>1</v>
      </c>
      <c r="BR129" s="43">
        <f t="shared" si="97"/>
        <v>0</v>
      </c>
      <c r="BS129" s="43">
        <f t="shared" si="97"/>
        <v>0</v>
      </c>
      <c r="BT129" s="43">
        <f t="shared" si="97"/>
        <v>0</v>
      </c>
      <c r="BU129" s="43">
        <f t="shared" si="97"/>
        <v>0</v>
      </c>
      <c r="BV129" s="43">
        <f t="shared" si="97"/>
        <v>0</v>
      </c>
      <c r="BW129" s="43">
        <f t="shared" si="97"/>
        <v>0</v>
      </c>
      <c r="BX129" s="43">
        <f t="shared" si="97"/>
        <v>0</v>
      </c>
      <c r="BY129" s="43">
        <f t="shared" si="97"/>
        <v>0</v>
      </c>
      <c r="BZ129" s="43">
        <f t="shared" si="97"/>
        <v>0</v>
      </c>
      <c r="CA129" s="43">
        <f t="shared" si="97"/>
        <v>0</v>
      </c>
    </row>
    <row r="130" spans="1:79" x14ac:dyDescent="0.25">
      <c r="A130" s="35">
        <v>113</v>
      </c>
      <c r="B130" s="8"/>
      <c r="C130" s="8"/>
      <c r="D130" s="8"/>
      <c r="E130" s="7"/>
      <c r="F130" s="49"/>
      <c r="G130" s="5"/>
      <c r="H130" s="10">
        <f t="shared" si="61"/>
        <v>0</v>
      </c>
      <c r="I130" s="49" t="e">
        <f>VLOOKUP(B130,База!$B$8:$I$52,3,FALSE)*60</f>
        <v>#N/A</v>
      </c>
      <c r="J130" s="35" t="e">
        <f>VLOOKUP(B130,База!$B$8:$I$52,7,FALSE)*I130</f>
        <v>#N/A</v>
      </c>
      <c r="K130" s="35" t="e">
        <f>VLOOKUP(B130,База!$B$8:$I$52,6,FALSE)</f>
        <v>#N/A</v>
      </c>
      <c r="L130" s="35" t="e">
        <f t="shared" si="84"/>
        <v>#N/A</v>
      </c>
      <c r="M130" s="9">
        <f t="shared" si="85"/>
        <v>0</v>
      </c>
      <c r="N130" s="53">
        <f t="shared" si="98"/>
        <v>612.23658315042314</v>
      </c>
      <c r="O130" s="53">
        <f t="shared" si="99"/>
        <v>612.23658315042314</v>
      </c>
      <c r="P130" s="53">
        <f t="shared" si="100"/>
        <v>0</v>
      </c>
      <c r="Q130" s="53">
        <f t="shared" si="101"/>
        <v>612.23658315042314</v>
      </c>
      <c r="R130" s="43">
        <f t="shared" si="92"/>
        <v>1</v>
      </c>
      <c r="S130" s="43">
        <f t="shared" si="92"/>
        <v>1</v>
      </c>
      <c r="T130" s="43">
        <f t="shared" si="92"/>
        <v>1</v>
      </c>
      <c r="U130" s="43">
        <f t="shared" si="92"/>
        <v>1</v>
      </c>
      <c r="V130" s="43">
        <f t="shared" si="92"/>
        <v>1</v>
      </c>
      <c r="W130" s="43">
        <f t="shared" si="92"/>
        <v>1</v>
      </c>
      <c r="X130" s="43">
        <f t="shared" si="92"/>
        <v>1</v>
      </c>
      <c r="Y130" s="43">
        <f t="shared" si="92"/>
        <v>1</v>
      </c>
      <c r="Z130" s="43">
        <f t="shared" si="92"/>
        <v>1</v>
      </c>
      <c r="AA130" s="43">
        <f t="shared" si="92"/>
        <v>1</v>
      </c>
      <c r="AB130" s="43">
        <f t="shared" si="93"/>
        <v>1</v>
      </c>
      <c r="AC130" s="43">
        <f t="shared" si="93"/>
        <v>1</v>
      </c>
      <c r="AD130" s="43">
        <f t="shared" si="93"/>
        <v>1</v>
      </c>
      <c r="AE130" s="43">
        <f t="shared" si="93"/>
        <v>1</v>
      </c>
      <c r="AF130" s="43">
        <f t="shared" si="93"/>
        <v>1</v>
      </c>
      <c r="AG130" s="43">
        <f t="shared" si="93"/>
        <v>1</v>
      </c>
      <c r="AH130" s="43">
        <f t="shared" si="93"/>
        <v>1</v>
      </c>
      <c r="AI130" s="43">
        <f t="shared" si="93"/>
        <v>1</v>
      </c>
      <c r="AJ130" s="43">
        <f t="shared" si="93"/>
        <v>1</v>
      </c>
      <c r="AK130" s="43">
        <f t="shared" si="93"/>
        <v>1</v>
      </c>
      <c r="AL130" s="43">
        <f t="shared" si="94"/>
        <v>1</v>
      </c>
      <c r="AM130" s="43">
        <f t="shared" si="94"/>
        <v>1</v>
      </c>
      <c r="AN130" s="43">
        <f t="shared" si="94"/>
        <v>1</v>
      </c>
      <c r="AO130" s="43">
        <f t="shared" si="94"/>
        <v>1</v>
      </c>
      <c r="AP130" s="43">
        <f t="shared" si="94"/>
        <v>1</v>
      </c>
      <c r="AQ130" s="43">
        <f t="shared" si="94"/>
        <v>1</v>
      </c>
      <c r="AR130" s="43">
        <f t="shared" si="94"/>
        <v>1</v>
      </c>
      <c r="AS130" s="43">
        <f t="shared" si="94"/>
        <v>1</v>
      </c>
      <c r="AT130" s="43">
        <f t="shared" si="94"/>
        <v>1</v>
      </c>
      <c r="AU130" s="43">
        <f t="shared" si="94"/>
        <v>1</v>
      </c>
      <c r="AV130" s="43">
        <f t="shared" si="95"/>
        <v>1</v>
      </c>
      <c r="AW130" s="43">
        <f t="shared" si="95"/>
        <v>1</v>
      </c>
      <c r="AX130" s="43">
        <f t="shared" si="95"/>
        <v>1</v>
      </c>
      <c r="AY130" s="43">
        <f t="shared" si="95"/>
        <v>1</v>
      </c>
      <c r="AZ130" s="43">
        <f t="shared" si="95"/>
        <v>1</v>
      </c>
      <c r="BA130" s="43">
        <f t="shared" si="95"/>
        <v>1</v>
      </c>
      <c r="BB130" s="43">
        <f t="shared" si="95"/>
        <v>1</v>
      </c>
      <c r="BC130" s="43">
        <f t="shared" si="95"/>
        <v>1</v>
      </c>
      <c r="BD130" s="43">
        <f t="shared" si="95"/>
        <v>1</v>
      </c>
      <c r="BE130" s="43">
        <f t="shared" si="95"/>
        <v>1</v>
      </c>
      <c r="BF130" s="43">
        <f t="shared" si="96"/>
        <v>1</v>
      </c>
      <c r="BG130" s="43">
        <f t="shared" si="96"/>
        <v>1</v>
      </c>
      <c r="BH130" s="43">
        <f t="shared" si="96"/>
        <v>1</v>
      </c>
      <c r="BI130" s="43">
        <f t="shared" si="96"/>
        <v>1</v>
      </c>
      <c r="BJ130" s="43">
        <f t="shared" si="96"/>
        <v>1</v>
      </c>
      <c r="BK130" s="43">
        <f t="shared" si="96"/>
        <v>1</v>
      </c>
      <c r="BL130" s="43">
        <f t="shared" si="96"/>
        <v>1</v>
      </c>
      <c r="BM130" s="43">
        <f t="shared" si="96"/>
        <v>1</v>
      </c>
      <c r="BN130" s="43">
        <f t="shared" si="96"/>
        <v>1</v>
      </c>
      <c r="BO130" s="43">
        <f t="shared" si="96"/>
        <v>1</v>
      </c>
      <c r="BP130" s="43">
        <f t="shared" si="97"/>
        <v>1</v>
      </c>
      <c r="BQ130" s="43">
        <f t="shared" si="97"/>
        <v>1</v>
      </c>
      <c r="BR130" s="43">
        <f t="shared" si="97"/>
        <v>0</v>
      </c>
      <c r="BS130" s="43">
        <f t="shared" si="97"/>
        <v>0</v>
      </c>
      <c r="BT130" s="43">
        <f t="shared" si="97"/>
        <v>0</v>
      </c>
      <c r="BU130" s="43">
        <f t="shared" si="97"/>
        <v>0</v>
      </c>
      <c r="BV130" s="43">
        <f t="shared" si="97"/>
        <v>0</v>
      </c>
      <c r="BW130" s="43">
        <f t="shared" si="97"/>
        <v>0</v>
      </c>
      <c r="BX130" s="43">
        <f t="shared" si="97"/>
        <v>0</v>
      </c>
      <c r="BY130" s="43">
        <f t="shared" si="97"/>
        <v>0</v>
      </c>
      <c r="BZ130" s="43">
        <f t="shared" si="97"/>
        <v>0</v>
      </c>
      <c r="CA130" s="43">
        <f t="shared" si="97"/>
        <v>0</v>
      </c>
    </row>
    <row r="131" spans="1:79" x14ac:dyDescent="0.25">
      <c r="A131" s="35">
        <v>114</v>
      </c>
      <c r="B131" s="8"/>
      <c r="C131" s="8"/>
      <c r="D131" s="8"/>
      <c r="E131" s="7"/>
      <c r="F131" s="49"/>
      <c r="G131" s="5"/>
      <c r="H131" s="10">
        <f t="shared" si="61"/>
        <v>0</v>
      </c>
      <c r="I131" s="49" t="e">
        <f>VLOOKUP(B131,База!$B$8:$I$52,3,FALSE)*60</f>
        <v>#N/A</v>
      </c>
      <c r="J131" s="35" t="e">
        <f>VLOOKUP(B131,База!$B$8:$I$52,7,FALSE)*I131</f>
        <v>#N/A</v>
      </c>
      <c r="K131" s="35" t="e">
        <f>VLOOKUP(B131,База!$B$8:$I$52,6,FALSE)</f>
        <v>#N/A</v>
      </c>
      <c r="L131" s="35" t="e">
        <f t="shared" si="84"/>
        <v>#N/A</v>
      </c>
      <c r="M131" s="9">
        <f t="shared" si="85"/>
        <v>0</v>
      </c>
      <c r="N131" s="53">
        <f t="shared" si="98"/>
        <v>612.23658315042314</v>
      </c>
      <c r="O131" s="53">
        <f t="shared" si="99"/>
        <v>612.23658315042314</v>
      </c>
      <c r="P131" s="53">
        <f t="shared" si="100"/>
        <v>0</v>
      </c>
      <c r="Q131" s="53">
        <f t="shared" si="101"/>
        <v>612.23658315042314</v>
      </c>
      <c r="R131" s="43">
        <f t="shared" si="92"/>
        <v>1</v>
      </c>
      <c r="S131" s="43">
        <f t="shared" si="92"/>
        <v>1</v>
      </c>
      <c r="T131" s="43">
        <f t="shared" si="92"/>
        <v>1</v>
      </c>
      <c r="U131" s="43">
        <f t="shared" si="92"/>
        <v>1</v>
      </c>
      <c r="V131" s="43">
        <f t="shared" si="92"/>
        <v>1</v>
      </c>
      <c r="W131" s="43">
        <f t="shared" si="92"/>
        <v>1</v>
      </c>
      <c r="X131" s="43">
        <f t="shared" si="92"/>
        <v>1</v>
      </c>
      <c r="Y131" s="43">
        <f t="shared" si="92"/>
        <v>1</v>
      </c>
      <c r="Z131" s="43">
        <f t="shared" si="92"/>
        <v>1</v>
      </c>
      <c r="AA131" s="43">
        <f t="shared" si="92"/>
        <v>1</v>
      </c>
      <c r="AB131" s="43">
        <f t="shared" si="93"/>
        <v>1</v>
      </c>
      <c r="AC131" s="43">
        <f t="shared" si="93"/>
        <v>1</v>
      </c>
      <c r="AD131" s="43">
        <f t="shared" si="93"/>
        <v>1</v>
      </c>
      <c r="AE131" s="43">
        <f t="shared" si="93"/>
        <v>1</v>
      </c>
      <c r="AF131" s="43">
        <f t="shared" si="93"/>
        <v>1</v>
      </c>
      <c r="AG131" s="43">
        <f t="shared" si="93"/>
        <v>1</v>
      </c>
      <c r="AH131" s="43">
        <f t="shared" si="93"/>
        <v>1</v>
      </c>
      <c r="AI131" s="43">
        <f t="shared" si="93"/>
        <v>1</v>
      </c>
      <c r="AJ131" s="43">
        <f t="shared" si="93"/>
        <v>1</v>
      </c>
      <c r="AK131" s="43">
        <f t="shared" si="93"/>
        <v>1</v>
      </c>
      <c r="AL131" s="43">
        <f t="shared" si="94"/>
        <v>1</v>
      </c>
      <c r="AM131" s="43">
        <f t="shared" si="94"/>
        <v>1</v>
      </c>
      <c r="AN131" s="43">
        <f t="shared" si="94"/>
        <v>1</v>
      </c>
      <c r="AO131" s="43">
        <f t="shared" si="94"/>
        <v>1</v>
      </c>
      <c r="AP131" s="43">
        <f t="shared" si="94"/>
        <v>1</v>
      </c>
      <c r="AQ131" s="43">
        <f t="shared" si="94"/>
        <v>1</v>
      </c>
      <c r="AR131" s="43">
        <f t="shared" si="94"/>
        <v>1</v>
      </c>
      <c r="AS131" s="43">
        <f t="shared" si="94"/>
        <v>1</v>
      </c>
      <c r="AT131" s="43">
        <f t="shared" si="94"/>
        <v>1</v>
      </c>
      <c r="AU131" s="43">
        <f t="shared" si="94"/>
        <v>1</v>
      </c>
      <c r="AV131" s="43">
        <f t="shared" si="95"/>
        <v>1</v>
      </c>
      <c r="AW131" s="43">
        <f t="shared" si="95"/>
        <v>1</v>
      </c>
      <c r="AX131" s="43">
        <f t="shared" si="95"/>
        <v>1</v>
      </c>
      <c r="AY131" s="43">
        <f t="shared" si="95"/>
        <v>1</v>
      </c>
      <c r="AZ131" s="43">
        <f t="shared" si="95"/>
        <v>1</v>
      </c>
      <c r="BA131" s="43">
        <f t="shared" si="95"/>
        <v>1</v>
      </c>
      <c r="BB131" s="43">
        <f t="shared" si="95"/>
        <v>1</v>
      </c>
      <c r="BC131" s="43">
        <f t="shared" si="95"/>
        <v>1</v>
      </c>
      <c r="BD131" s="43">
        <f t="shared" si="95"/>
        <v>1</v>
      </c>
      <c r="BE131" s="43">
        <f t="shared" si="95"/>
        <v>1</v>
      </c>
      <c r="BF131" s="43">
        <f t="shared" si="96"/>
        <v>1</v>
      </c>
      <c r="BG131" s="43">
        <f t="shared" si="96"/>
        <v>1</v>
      </c>
      <c r="BH131" s="43">
        <f t="shared" si="96"/>
        <v>1</v>
      </c>
      <c r="BI131" s="43">
        <f t="shared" si="96"/>
        <v>1</v>
      </c>
      <c r="BJ131" s="43">
        <f t="shared" si="96"/>
        <v>1</v>
      </c>
      <c r="BK131" s="43">
        <f t="shared" si="96"/>
        <v>1</v>
      </c>
      <c r="BL131" s="43">
        <f t="shared" si="96"/>
        <v>1</v>
      </c>
      <c r="BM131" s="43">
        <f t="shared" si="96"/>
        <v>1</v>
      </c>
      <c r="BN131" s="43">
        <f t="shared" si="96"/>
        <v>1</v>
      </c>
      <c r="BO131" s="43">
        <f t="shared" si="96"/>
        <v>1</v>
      </c>
      <c r="BP131" s="43">
        <f t="shared" si="97"/>
        <v>1</v>
      </c>
      <c r="BQ131" s="43">
        <f t="shared" si="97"/>
        <v>1</v>
      </c>
      <c r="BR131" s="43">
        <f t="shared" si="97"/>
        <v>0</v>
      </c>
      <c r="BS131" s="43">
        <f t="shared" si="97"/>
        <v>0</v>
      </c>
      <c r="BT131" s="43">
        <f t="shared" si="97"/>
        <v>0</v>
      </c>
      <c r="BU131" s="43">
        <f t="shared" si="97"/>
        <v>0</v>
      </c>
      <c r="BV131" s="43">
        <f t="shared" si="97"/>
        <v>0</v>
      </c>
      <c r="BW131" s="43">
        <f t="shared" si="97"/>
        <v>0</v>
      </c>
      <c r="BX131" s="43">
        <f t="shared" si="97"/>
        <v>0</v>
      </c>
      <c r="BY131" s="43">
        <f t="shared" si="97"/>
        <v>0</v>
      </c>
      <c r="BZ131" s="43">
        <f t="shared" si="97"/>
        <v>0</v>
      </c>
      <c r="CA131" s="43">
        <f t="shared" si="97"/>
        <v>0</v>
      </c>
    </row>
    <row r="132" spans="1:79" x14ac:dyDescent="0.25">
      <c r="A132" s="35">
        <v>115</v>
      </c>
      <c r="B132" s="8"/>
      <c r="C132" s="8"/>
      <c r="D132" s="8"/>
      <c r="E132" s="7"/>
      <c r="F132" s="49"/>
      <c r="G132" s="5"/>
      <c r="H132" s="10">
        <f t="shared" si="61"/>
        <v>0</v>
      </c>
      <c r="I132" s="49" t="e">
        <f>VLOOKUP(B132,База!$B$8:$I$52,3,FALSE)*60</f>
        <v>#N/A</v>
      </c>
      <c r="J132" s="35" t="e">
        <f>VLOOKUP(B132,База!$B$8:$I$52,7,FALSE)*I132</f>
        <v>#N/A</v>
      </c>
      <c r="K132" s="35" t="e">
        <f>VLOOKUP(B132,База!$B$8:$I$52,6,FALSE)</f>
        <v>#N/A</v>
      </c>
      <c r="L132" s="35" t="e">
        <f t="shared" si="84"/>
        <v>#N/A</v>
      </c>
      <c r="M132" s="9">
        <f t="shared" si="85"/>
        <v>0</v>
      </c>
      <c r="N132" s="53">
        <f t="shared" si="98"/>
        <v>612.23658315042314</v>
      </c>
      <c r="O132" s="53">
        <f t="shared" si="99"/>
        <v>612.23658315042314</v>
      </c>
      <c r="P132" s="53">
        <f t="shared" si="100"/>
        <v>0</v>
      </c>
      <c r="Q132" s="53">
        <f t="shared" si="101"/>
        <v>612.23658315042314</v>
      </c>
      <c r="R132" s="43">
        <f t="shared" ref="R132:AA139" si="102">IF($Q132&gt;R$10,IF($Q132-$P132&lt;=R$10,$L132,1),0)</f>
        <v>1</v>
      </c>
      <c r="S132" s="43">
        <f t="shared" si="102"/>
        <v>1</v>
      </c>
      <c r="T132" s="43">
        <f t="shared" si="102"/>
        <v>1</v>
      </c>
      <c r="U132" s="43">
        <f t="shared" si="102"/>
        <v>1</v>
      </c>
      <c r="V132" s="43">
        <f t="shared" si="102"/>
        <v>1</v>
      </c>
      <c r="W132" s="43">
        <f t="shared" si="102"/>
        <v>1</v>
      </c>
      <c r="X132" s="43">
        <f t="shared" si="102"/>
        <v>1</v>
      </c>
      <c r="Y132" s="43">
        <f t="shared" si="102"/>
        <v>1</v>
      </c>
      <c r="Z132" s="43">
        <f t="shared" si="102"/>
        <v>1</v>
      </c>
      <c r="AA132" s="43">
        <f t="shared" si="102"/>
        <v>1</v>
      </c>
      <c r="AB132" s="43">
        <f t="shared" ref="AB132:AK139" si="103">IF($Q132&gt;AB$10,IF($Q132-$P132&lt;=AB$10,$L132,1),0)</f>
        <v>1</v>
      </c>
      <c r="AC132" s="43">
        <f t="shared" si="103"/>
        <v>1</v>
      </c>
      <c r="AD132" s="43">
        <f t="shared" si="103"/>
        <v>1</v>
      </c>
      <c r="AE132" s="43">
        <f t="shared" si="103"/>
        <v>1</v>
      </c>
      <c r="AF132" s="43">
        <f t="shared" si="103"/>
        <v>1</v>
      </c>
      <c r="AG132" s="43">
        <f t="shared" si="103"/>
        <v>1</v>
      </c>
      <c r="AH132" s="43">
        <f t="shared" si="103"/>
        <v>1</v>
      </c>
      <c r="AI132" s="43">
        <f t="shared" si="103"/>
        <v>1</v>
      </c>
      <c r="AJ132" s="43">
        <f t="shared" si="103"/>
        <v>1</v>
      </c>
      <c r="AK132" s="43">
        <f t="shared" si="103"/>
        <v>1</v>
      </c>
      <c r="AL132" s="43">
        <f t="shared" ref="AL132:AU139" si="104">IF($Q132&gt;AL$10,IF($Q132-$P132&lt;=AL$10,$L132,1),0)</f>
        <v>1</v>
      </c>
      <c r="AM132" s="43">
        <f t="shared" si="104"/>
        <v>1</v>
      </c>
      <c r="AN132" s="43">
        <f t="shared" si="104"/>
        <v>1</v>
      </c>
      <c r="AO132" s="43">
        <f t="shared" si="104"/>
        <v>1</v>
      </c>
      <c r="AP132" s="43">
        <f t="shared" si="104"/>
        <v>1</v>
      </c>
      <c r="AQ132" s="43">
        <f t="shared" si="104"/>
        <v>1</v>
      </c>
      <c r="AR132" s="43">
        <f t="shared" si="104"/>
        <v>1</v>
      </c>
      <c r="AS132" s="43">
        <f t="shared" si="104"/>
        <v>1</v>
      </c>
      <c r="AT132" s="43">
        <f t="shared" si="104"/>
        <v>1</v>
      </c>
      <c r="AU132" s="43">
        <f t="shared" si="104"/>
        <v>1</v>
      </c>
      <c r="AV132" s="43">
        <f t="shared" ref="AV132:BE139" si="105">IF($Q132&gt;AV$10,IF($Q132-$P132&lt;=AV$10,$L132,1),0)</f>
        <v>1</v>
      </c>
      <c r="AW132" s="43">
        <f t="shared" si="105"/>
        <v>1</v>
      </c>
      <c r="AX132" s="43">
        <f t="shared" si="105"/>
        <v>1</v>
      </c>
      <c r="AY132" s="43">
        <f t="shared" si="105"/>
        <v>1</v>
      </c>
      <c r="AZ132" s="43">
        <f t="shared" si="105"/>
        <v>1</v>
      </c>
      <c r="BA132" s="43">
        <f t="shared" si="105"/>
        <v>1</v>
      </c>
      <c r="BB132" s="43">
        <f t="shared" si="105"/>
        <v>1</v>
      </c>
      <c r="BC132" s="43">
        <f t="shared" si="105"/>
        <v>1</v>
      </c>
      <c r="BD132" s="43">
        <f t="shared" si="105"/>
        <v>1</v>
      </c>
      <c r="BE132" s="43">
        <f t="shared" si="105"/>
        <v>1</v>
      </c>
      <c r="BF132" s="43">
        <f t="shared" ref="BF132:BO139" si="106">IF($Q132&gt;BF$10,IF($Q132-$P132&lt;=BF$10,$L132,1),0)</f>
        <v>1</v>
      </c>
      <c r="BG132" s="43">
        <f t="shared" si="106"/>
        <v>1</v>
      </c>
      <c r="BH132" s="43">
        <f t="shared" si="106"/>
        <v>1</v>
      </c>
      <c r="BI132" s="43">
        <f t="shared" si="106"/>
        <v>1</v>
      </c>
      <c r="BJ132" s="43">
        <f t="shared" si="106"/>
        <v>1</v>
      </c>
      <c r="BK132" s="43">
        <f t="shared" si="106"/>
        <v>1</v>
      </c>
      <c r="BL132" s="43">
        <f t="shared" si="106"/>
        <v>1</v>
      </c>
      <c r="BM132" s="43">
        <f t="shared" si="106"/>
        <v>1</v>
      </c>
      <c r="BN132" s="43">
        <f t="shared" si="106"/>
        <v>1</v>
      </c>
      <c r="BO132" s="43">
        <f t="shared" si="106"/>
        <v>1</v>
      </c>
      <c r="BP132" s="43">
        <f t="shared" ref="BP132:CA139" si="107">IF($Q132&gt;BP$10,IF($Q132-$P132&lt;=BP$10,$L132,1),0)</f>
        <v>1</v>
      </c>
      <c r="BQ132" s="43">
        <f t="shared" si="107"/>
        <v>1</v>
      </c>
      <c r="BR132" s="43">
        <f t="shared" si="107"/>
        <v>0</v>
      </c>
      <c r="BS132" s="43">
        <f t="shared" si="107"/>
        <v>0</v>
      </c>
      <c r="BT132" s="43">
        <f t="shared" si="107"/>
        <v>0</v>
      </c>
      <c r="BU132" s="43">
        <f t="shared" si="107"/>
        <v>0</v>
      </c>
      <c r="BV132" s="43">
        <f t="shared" si="107"/>
        <v>0</v>
      </c>
      <c r="BW132" s="43">
        <f t="shared" si="107"/>
        <v>0</v>
      </c>
      <c r="BX132" s="43">
        <f t="shared" si="107"/>
        <v>0</v>
      </c>
      <c r="BY132" s="43">
        <f t="shared" si="107"/>
        <v>0</v>
      </c>
      <c r="BZ132" s="43">
        <f t="shared" si="107"/>
        <v>0</v>
      </c>
      <c r="CA132" s="43">
        <f t="shared" si="107"/>
        <v>0</v>
      </c>
    </row>
    <row r="133" spans="1:79" x14ac:dyDescent="0.25">
      <c r="A133" s="35">
        <v>116</v>
      </c>
      <c r="B133" s="8"/>
      <c r="C133" s="8"/>
      <c r="D133" s="8"/>
      <c r="E133" s="7"/>
      <c r="F133" s="49"/>
      <c r="G133" s="5"/>
      <c r="H133" s="10">
        <f t="shared" si="61"/>
        <v>0</v>
      </c>
      <c r="I133" s="49" t="e">
        <f>VLOOKUP(B133,База!$B$8:$I$52,3,FALSE)*60</f>
        <v>#N/A</v>
      </c>
      <c r="J133" s="35" t="e">
        <f>VLOOKUP(B133,База!$B$8:$I$52,7,FALSE)*I133</f>
        <v>#N/A</v>
      </c>
      <c r="K133" s="35" t="e">
        <f>VLOOKUP(B133,База!$B$8:$I$52,6,FALSE)</f>
        <v>#N/A</v>
      </c>
      <c r="L133" s="35" t="e">
        <f t="shared" si="84"/>
        <v>#N/A</v>
      </c>
      <c r="M133" s="9">
        <f t="shared" si="85"/>
        <v>0</v>
      </c>
      <c r="N133" s="53">
        <f t="shared" si="98"/>
        <v>612.23658315042314</v>
      </c>
      <c r="O133" s="53">
        <f t="shared" si="99"/>
        <v>612.23658315042314</v>
      </c>
      <c r="P133" s="53">
        <f t="shared" si="100"/>
        <v>0</v>
      </c>
      <c r="Q133" s="53">
        <f t="shared" si="101"/>
        <v>612.23658315042314</v>
      </c>
      <c r="R133" s="43">
        <f t="shared" si="102"/>
        <v>1</v>
      </c>
      <c r="S133" s="43">
        <f t="shared" si="102"/>
        <v>1</v>
      </c>
      <c r="T133" s="43">
        <f t="shared" si="102"/>
        <v>1</v>
      </c>
      <c r="U133" s="43">
        <f t="shared" si="102"/>
        <v>1</v>
      </c>
      <c r="V133" s="43">
        <f t="shared" si="102"/>
        <v>1</v>
      </c>
      <c r="W133" s="43">
        <f t="shared" si="102"/>
        <v>1</v>
      </c>
      <c r="X133" s="43">
        <f t="shared" si="102"/>
        <v>1</v>
      </c>
      <c r="Y133" s="43">
        <f t="shared" si="102"/>
        <v>1</v>
      </c>
      <c r="Z133" s="43">
        <f t="shared" si="102"/>
        <v>1</v>
      </c>
      <c r="AA133" s="43">
        <f t="shared" si="102"/>
        <v>1</v>
      </c>
      <c r="AB133" s="43">
        <f t="shared" si="103"/>
        <v>1</v>
      </c>
      <c r="AC133" s="43">
        <f t="shared" si="103"/>
        <v>1</v>
      </c>
      <c r="AD133" s="43">
        <f t="shared" si="103"/>
        <v>1</v>
      </c>
      <c r="AE133" s="43">
        <f t="shared" si="103"/>
        <v>1</v>
      </c>
      <c r="AF133" s="43">
        <f t="shared" si="103"/>
        <v>1</v>
      </c>
      <c r="AG133" s="43">
        <f t="shared" si="103"/>
        <v>1</v>
      </c>
      <c r="AH133" s="43">
        <f t="shared" si="103"/>
        <v>1</v>
      </c>
      <c r="AI133" s="43">
        <f t="shared" si="103"/>
        <v>1</v>
      </c>
      <c r="AJ133" s="43">
        <f t="shared" si="103"/>
        <v>1</v>
      </c>
      <c r="AK133" s="43">
        <f t="shared" si="103"/>
        <v>1</v>
      </c>
      <c r="AL133" s="43">
        <f t="shared" si="104"/>
        <v>1</v>
      </c>
      <c r="AM133" s="43">
        <f t="shared" si="104"/>
        <v>1</v>
      </c>
      <c r="AN133" s="43">
        <f t="shared" si="104"/>
        <v>1</v>
      </c>
      <c r="AO133" s="43">
        <f t="shared" si="104"/>
        <v>1</v>
      </c>
      <c r="AP133" s="43">
        <f t="shared" si="104"/>
        <v>1</v>
      </c>
      <c r="AQ133" s="43">
        <f t="shared" si="104"/>
        <v>1</v>
      </c>
      <c r="AR133" s="43">
        <f t="shared" si="104"/>
        <v>1</v>
      </c>
      <c r="AS133" s="43">
        <f t="shared" si="104"/>
        <v>1</v>
      </c>
      <c r="AT133" s="43">
        <f t="shared" si="104"/>
        <v>1</v>
      </c>
      <c r="AU133" s="43">
        <f t="shared" si="104"/>
        <v>1</v>
      </c>
      <c r="AV133" s="43">
        <f t="shared" si="105"/>
        <v>1</v>
      </c>
      <c r="AW133" s="43">
        <f t="shared" si="105"/>
        <v>1</v>
      </c>
      <c r="AX133" s="43">
        <f t="shared" si="105"/>
        <v>1</v>
      </c>
      <c r="AY133" s="43">
        <f t="shared" si="105"/>
        <v>1</v>
      </c>
      <c r="AZ133" s="43">
        <f t="shared" si="105"/>
        <v>1</v>
      </c>
      <c r="BA133" s="43">
        <f t="shared" si="105"/>
        <v>1</v>
      </c>
      <c r="BB133" s="43">
        <f t="shared" si="105"/>
        <v>1</v>
      </c>
      <c r="BC133" s="43">
        <f t="shared" si="105"/>
        <v>1</v>
      </c>
      <c r="BD133" s="43">
        <f t="shared" si="105"/>
        <v>1</v>
      </c>
      <c r="BE133" s="43">
        <f t="shared" si="105"/>
        <v>1</v>
      </c>
      <c r="BF133" s="43">
        <f t="shared" si="106"/>
        <v>1</v>
      </c>
      <c r="BG133" s="43">
        <f t="shared" si="106"/>
        <v>1</v>
      </c>
      <c r="BH133" s="43">
        <f t="shared" si="106"/>
        <v>1</v>
      </c>
      <c r="BI133" s="43">
        <f t="shared" si="106"/>
        <v>1</v>
      </c>
      <c r="BJ133" s="43">
        <f t="shared" si="106"/>
        <v>1</v>
      </c>
      <c r="BK133" s="43">
        <f t="shared" si="106"/>
        <v>1</v>
      </c>
      <c r="BL133" s="43">
        <f t="shared" si="106"/>
        <v>1</v>
      </c>
      <c r="BM133" s="43">
        <f t="shared" si="106"/>
        <v>1</v>
      </c>
      <c r="BN133" s="43">
        <f t="shared" si="106"/>
        <v>1</v>
      </c>
      <c r="BO133" s="43">
        <f t="shared" si="106"/>
        <v>1</v>
      </c>
      <c r="BP133" s="43">
        <f t="shared" si="107"/>
        <v>1</v>
      </c>
      <c r="BQ133" s="43">
        <f t="shared" si="107"/>
        <v>1</v>
      </c>
      <c r="BR133" s="43">
        <f t="shared" si="107"/>
        <v>0</v>
      </c>
      <c r="BS133" s="43">
        <f t="shared" si="107"/>
        <v>0</v>
      </c>
      <c r="BT133" s="43">
        <f t="shared" si="107"/>
        <v>0</v>
      </c>
      <c r="BU133" s="43">
        <f t="shared" si="107"/>
        <v>0</v>
      </c>
      <c r="BV133" s="43">
        <f t="shared" si="107"/>
        <v>0</v>
      </c>
      <c r="BW133" s="43">
        <f t="shared" si="107"/>
        <v>0</v>
      </c>
      <c r="BX133" s="43">
        <f t="shared" si="107"/>
        <v>0</v>
      </c>
      <c r="BY133" s="43">
        <f t="shared" si="107"/>
        <v>0</v>
      </c>
      <c r="BZ133" s="43">
        <f t="shared" si="107"/>
        <v>0</v>
      </c>
      <c r="CA133" s="43">
        <f t="shared" si="107"/>
        <v>0</v>
      </c>
    </row>
    <row r="134" spans="1:79" x14ac:dyDescent="0.25">
      <c r="A134" s="35">
        <v>117</v>
      </c>
      <c r="B134" s="8"/>
      <c r="C134" s="8"/>
      <c r="D134" s="8"/>
      <c r="E134" s="7"/>
      <c r="F134" s="49"/>
      <c r="G134" s="5"/>
      <c r="H134" s="10">
        <f t="shared" si="61"/>
        <v>0</v>
      </c>
      <c r="I134" s="49" t="e">
        <f>VLOOKUP(B134,База!$B$8:$I$52,3,FALSE)*60</f>
        <v>#N/A</v>
      </c>
      <c r="J134" s="35" t="e">
        <f>VLOOKUP(B134,База!$B$8:$I$52,7,FALSE)*I134</f>
        <v>#N/A</v>
      </c>
      <c r="K134" s="35" t="e">
        <f>VLOOKUP(B134,База!$B$8:$I$52,6,FALSE)</f>
        <v>#N/A</v>
      </c>
      <c r="L134" s="35" t="e">
        <f t="shared" si="84"/>
        <v>#N/A</v>
      </c>
      <c r="M134" s="9">
        <f t="shared" si="85"/>
        <v>0</v>
      </c>
      <c r="N134" s="53">
        <f t="shared" si="98"/>
        <v>612.23658315042314</v>
      </c>
      <c r="O134" s="53">
        <f t="shared" si="99"/>
        <v>612.23658315042314</v>
      </c>
      <c r="P134" s="53">
        <f t="shared" si="100"/>
        <v>0</v>
      </c>
      <c r="Q134" s="53">
        <f t="shared" si="101"/>
        <v>612.23658315042314</v>
      </c>
      <c r="R134" s="43">
        <f t="shared" si="102"/>
        <v>1</v>
      </c>
      <c r="S134" s="43">
        <f t="shared" si="102"/>
        <v>1</v>
      </c>
      <c r="T134" s="43">
        <f t="shared" si="102"/>
        <v>1</v>
      </c>
      <c r="U134" s="43">
        <f t="shared" si="102"/>
        <v>1</v>
      </c>
      <c r="V134" s="43">
        <f t="shared" si="102"/>
        <v>1</v>
      </c>
      <c r="W134" s="43">
        <f t="shared" si="102"/>
        <v>1</v>
      </c>
      <c r="X134" s="43">
        <f t="shared" si="102"/>
        <v>1</v>
      </c>
      <c r="Y134" s="43">
        <f t="shared" si="102"/>
        <v>1</v>
      </c>
      <c r="Z134" s="43">
        <f t="shared" si="102"/>
        <v>1</v>
      </c>
      <c r="AA134" s="43">
        <f t="shared" si="102"/>
        <v>1</v>
      </c>
      <c r="AB134" s="43">
        <f t="shared" si="103"/>
        <v>1</v>
      </c>
      <c r="AC134" s="43">
        <f t="shared" si="103"/>
        <v>1</v>
      </c>
      <c r="AD134" s="43">
        <f t="shared" si="103"/>
        <v>1</v>
      </c>
      <c r="AE134" s="43">
        <f t="shared" si="103"/>
        <v>1</v>
      </c>
      <c r="AF134" s="43">
        <f t="shared" si="103"/>
        <v>1</v>
      </c>
      <c r="AG134" s="43">
        <f t="shared" si="103"/>
        <v>1</v>
      </c>
      <c r="AH134" s="43">
        <f t="shared" si="103"/>
        <v>1</v>
      </c>
      <c r="AI134" s="43">
        <f t="shared" si="103"/>
        <v>1</v>
      </c>
      <c r="AJ134" s="43">
        <f t="shared" si="103"/>
        <v>1</v>
      </c>
      <c r="AK134" s="43">
        <f t="shared" si="103"/>
        <v>1</v>
      </c>
      <c r="AL134" s="43">
        <f t="shared" si="104"/>
        <v>1</v>
      </c>
      <c r="AM134" s="43">
        <f t="shared" si="104"/>
        <v>1</v>
      </c>
      <c r="AN134" s="43">
        <f t="shared" si="104"/>
        <v>1</v>
      </c>
      <c r="AO134" s="43">
        <f t="shared" si="104"/>
        <v>1</v>
      </c>
      <c r="AP134" s="43">
        <f t="shared" si="104"/>
        <v>1</v>
      </c>
      <c r="AQ134" s="43">
        <f t="shared" si="104"/>
        <v>1</v>
      </c>
      <c r="AR134" s="43">
        <f t="shared" si="104"/>
        <v>1</v>
      </c>
      <c r="AS134" s="43">
        <f t="shared" si="104"/>
        <v>1</v>
      </c>
      <c r="AT134" s="43">
        <f t="shared" si="104"/>
        <v>1</v>
      </c>
      <c r="AU134" s="43">
        <f t="shared" si="104"/>
        <v>1</v>
      </c>
      <c r="AV134" s="43">
        <f t="shared" si="105"/>
        <v>1</v>
      </c>
      <c r="AW134" s="43">
        <f t="shared" si="105"/>
        <v>1</v>
      </c>
      <c r="AX134" s="43">
        <f t="shared" si="105"/>
        <v>1</v>
      </c>
      <c r="AY134" s="43">
        <f t="shared" si="105"/>
        <v>1</v>
      </c>
      <c r="AZ134" s="43">
        <f t="shared" si="105"/>
        <v>1</v>
      </c>
      <c r="BA134" s="43">
        <f t="shared" si="105"/>
        <v>1</v>
      </c>
      <c r="BB134" s="43">
        <f t="shared" si="105"/>
        <v>1</v>
      </c>
      <c r="BC134" s="43">
        <f t="shared" si="105"/>
        <v>1</v>
      </c>
      <c r="BD134" s="43">
        <f t="shared" si="105"/>
        <v>1</v>
      </c>
      <c r="BE134" s="43">
        <f t="shared" si="105"/>
        <v>1</v>
      </c>
      <c r="BF134" s="43">
        <f t="shared" si="106"/>
        <v>1</v>
      </c>
      <c r="BG134" s="43">
        <f t="shared" si="106"/>
        <v>1</v>
      </c>
      <c r="BH134" s="43">
        <f t="shared" si="106"/>
        <v>1</v>
      </c>
      <c r="BI134" s="43">
        <f t="shared" si="106"/>
        <v>1</v>
      </c>
      <c r="BJ134" s="43">
        <f t="shared" si="106"/>
        <v>1</v>
      </c>
      <c r="BK134" s="43">
        <f t="shared" si="106"/>
        <v>1</v>
      </c>
      <c r="BL134" s="43">
        <f t="shared" si="106"/>
        <v>1</v>
      </c>
      <c r="BM134" s="43">
        <f t="shared" si="106"/>
        <v>1</v>
      </c>
      <c r="BN134" s="43">
        <f t="shared" si="106"/>
        <v>1</v>
      </c>
      <c r="BO134" s="43">
        <f t="shared" si="106"/>
        <v>1</v>
      </c>
      <c r="BP134" s="43">
        <f t="shared" si="107"/>
        <v>1</v>
      </c>
      <c r="BQ134" s="43">
        <f t="shared" si="107"/>
        <v>1</v>
      </c>
      <c r="BR134" s="43">
        <f t="shared" si="107"/>
        <v>0</v>
      </c>
      <c r="BS134" s="43">
        <f t="shared" si="107"/>
        <v>0</v>
      </c>
      <c r="BT134" s="43">
        <f t="shared" si="107"/>
        <v>0</v>
      </c>
      <c r="BU134" s="43">
        <f t="shared" si="107"/>
        <v>0</v>
      </c>
      <c r="BV134" s="43">
        <f t="shared" si="107"/>
        <v>0</v>
      </c>
      <c r="BW134" s="43">
        <f t="shared" si="107"/>
        <v>0</v>
      </c>
      <c r="BX134" s="43">
        <f t="shared" si="107"/>
        <v>0</v>
      </c>
      <c r="BY134" s="43">
        <f t="shared" si="107"/>
        <v>0</v>
      </c>
      <c r="BZ134" s="43">
        <f t="shared" si="107"/>
        <v>0</v>
      </c>
      <c r="CA134" s="43">
        <f t="shared" si="107"/>
        <v>0</v>
      </c>
    </row>
    <row r="135" spans="1:79" x14ac:dyDescent="0.25">
      <c r="A135" s="35">
        <v>118</v>
      </c>
      <c r="B135" s="8"/>
      <c r="C135" s="8"/>
      <c r="D135" s="8"/>
      <c r="E135" s="7"/>
      <c r="F135" s="49"/>
      <c r="G135" s="5"/>
      <c r="H135" s="10">
        <f t="shared" si="61"/>
        <v>0</v>
      </c>
      <c r="I135" s="49" t="e">
        <f>VLOOKUP(B135,База!$B$8:$I$52,3,FALSE)*60</f>
        <v>#N/A</v>
      </c>
      <c r="J135" s="35" t="e">
        <f>VLOOKUP(B135,База!$B$8:$I$52,7,FALSE)*I135</f>
        <v>#N/A</v>
      </c>
      <c r="K135" s="35" t="e">
        <f>VLOOKUP(B135,База!$B$8:$I$52,6,FALSE)</f>
        <v>#N/A</v>
      </c>
      <c r="L135" s="35" t="e">
        <f t="shared" si="84"/>
        <v>#N/A</v>
      </c>
      <c r="M135" s="9">
        <f t="shared" si="85"/>
        <v>0</v>
      </c>
      <c r="N135" s="53">
        <f t="shared" si="98"/>
        <v>612.23658315042314</v>
      </c>
      <c r="O135" s="53">
        <f t="shared" si="99"/>
        <v>612.23658315042314</v>
      </c>
      <c r="P135" s="53">
        <f t="shared" si="100"/>
        <v>0</v>
      </c>
      <c r="Q135" s="53">
        <f t="shared" si="101"/>
        <v>612.23658315042314</v>
      </c>
      <c r="R135" s="43">
        <f t="shared" si="102"/>
        <v>1</v>
      </c>
      <c r="S135" s="43">
        <f t="shared" si="102"/>
        <v>1</v>
      </c>
      <c r="T135" s="43">
        <f t="shared" si="102"/>
        <v>1</v>
      </c>
      <c r="U135" s="43">
        <f t="shared" si="102"/>
        <v>1</v>
      </c>
      <c r="V135" s="43">
        <f t="shared" si="102"/>
        <v>1</v>
      </c>
      <c r="W135" s="43">
        <f t="shared" si="102"/>
        <v>1</v>
      </c>
      <c r="X135" s="43">
        <f t="shared" si="102"/>
        <v>1</v>
      </c>
      <c r="Y135" s="43">
        <f t="shared" si="102"/>
        <v>1</v>
      </c>
      <c r="Z135" s="43">
        <f t="shared" si="102"/>
        <v>1</v>
      </c>
      <c r="AA135" s="43">
        <f t="shared" si="102"/>
        <v>1</v>
      </c>
      <c r="AB135" s="43">
        <f t="shared" si="103"/>
        <v>1</v>
      </c>
      <c r="AC135" s="43">
        <f t="shared" si="103"/>
        <v>1</v>
      </c>
      <c r="AD135" s="43">
        <f t="shared" si="103"/>
        <v>1</v>
      </c>
      <c r="AE135" s="43">
        <f t="shared" si="103"/>
        <v>1</v>
      </c>
      <c r="AF135" s="43">
        <f t="shared" si="103"/>
        <v>1</v>
      </c>
      <c r="AG135" s="43">
        <f t="shared" si="103"/>
        <v>1</v>
      </c>
      <c r="AH135" s="43">
        <f t="shared" si="103"/>
        <v>1</v>
      </c>
      <c r="AI135" s="43">
        <f t="shared" si="103"/>
        <v>1</v>
      </c>
      <c r="AJ135" s="43">
        <f t="shared" si="103"/>
        <v>1</v>
      </c>
      <c r="AK135" s="43">
        <f t="shared" si="103"/>
        <v>1</v>
      </c>
      <c r="AL135" s="43">
        <f t="shared" si="104"/>
        <v>1</v>
      </c>
      <c r="AM135" s="43">
        <f t="shared" si="104"/>
        <v>1</v>
      </c>
      <c r="AN135" s="43">
        <f t="shared" si="104"/>
        <v>1</v>
      </c>
      <c r="AO135" s="43">
        <f t="shared" si="104"/>
        <v>1</v>
      </c>
      <c r="AP135" s="43">
        <f t="shared" si="104"/>
        <v>1</v>
      </c>
      <c r="AQ135" s="43">
        <f t="shared" si="104"/>
        <v>1</v>
      </c>
      <c r="AR135" s="43">
        <f t="shared" si="104"/>
        <v>1</v>
      </c>
      <c r="AS135" s="43">
        <f t="shared" si="104"/>
        <v>1</v>
      </c>
      <c r="AT135" s="43">
        <f t="shared" si="104"/>
        <v>1</v>
      </c>
      <c r="AU135" s="43">
        <f t="shared" si="104"/>
        <v>1</v>
      </c>
      <c r="AV135" s="43">
        <f t="shared" si="105"/>
        <v>1</v>
      </c>
      <c r="AW135" s="43">
        <f t="shared" si="105"/>
        <v>1</v>
      </c>
      <c r="AX135" s="43">
        <f t="shared" si="105"/>
        <v>1</v>
      </c>
      <c r="AY135" s="43">
        <f t="shared" si="105"/>
        <v>1</v>
      </c>
      <c r="AZ135" s="43">
        <f t="shared" si="105"/>
        <v>1</v>
      </c>
      <c r="BA135" s="43">
        <f t="shared" si="105"/>
        <v>1</v>
      </c>
      <c r="BB135" s="43">
        <f t="shared" si="105"/>
        <v>1</v>
      </c>
      <c r="BC135" s="43">
        <f t="shared" si="105"/>
        <v>1</v>
      </c>
      <c r="BD135" s="43">
        <f t="shared" si="105"/>
        <v>1</v>
      </c>
      <c r="BE135" s="43">
        <f t="shared" si="105"/>
        <v>1</v>
      </c>
      <c r="BF135" s="43">
        <f t="shared" si="106"/>
        <v>1</v>
      </c>
      <c r="BG135" s="43">
        <f t="shared" si="106"/>
        <v>1</v>
      </c>
      <c r="BH135" s="43">
        <f t="shared" si="106"/>
        <v>1</v>
      </c>
      <c r="BI135" s="43">
        <f t="shared" si="106"/>
        <v>1</v>
      </c>
      <c r="BJ135" s="43">
        <f t="shared" si="106"/>
        <v>1</v>
      </c>
      <c r="BK135" s="43">
        <f t="shared" si="106"/>
        <v>1</v>
      </c>
      <c r="BL135" s="43">
        <f t="shared" si="106"/>
        <v>1</v>
      </c>
      <c r="BM135" s="43">
        <f t="shared" si="106"/>
        <v>1</v>
      </c>
      <c r="BN135" s="43">
        <f t="shared" si="106"/>
        <v>1</v>
      </c>
      <c r="BO135" s="43">
        <f t="shared" si="106"/>
        <v>1</v>
      </c>
      <c r="BP135" s="43">
        <f t="shared" si="107"/>
        <v>1</v>
      </c>
      <c r="BQ135" s="43">
        <f t="shared" si="107"/>
        <v>1</v>
      </c>
      <c r="BR135" s="43">
        <f t="shared" si="107"/>
        <v>0</v>
      </c>
      <c r="BS135" s="43">
        <f t="shared" si="107"/>
        <v>0</v>
      </c>
      <c r="BT135" s="43">
        <f t="shared" si="107"/>
        <v>0</v>
      </c>
      <c r="BU135" s="43">
        <f t="shared" si="107"/>
        <v>0</v>
      </c>
      <c r="BV135" s="43">
        <f t="shared" si="107"/>
        <v>0</v>
      </c>
      <c r="BW135" s="43">
        <f t="shared" si="107"/>
        <v>0</v>
      </c>
      <c r="BX135" s="43">
        <f t="shared" si="107"/>
        <v>0</v>
      </c>
      <c r="BY135" s="43">
        <f t="shared" si="107"/>
        <v>0</v>
      </c>
      <c r="BZ135" s="43">
        <f t="shared" si="107"/>
        <v>0</v>
      </c>
      <c r="CA135" s="43">
        <f t="shared" si="107"/>
        <v>0</v>
      </c>
    </row>
    <row r="136" spans="1:79" x14ac:dyDescent="0.25">
      <c r="A136" s="35">
        <v>119</v>
      </c>
      <c r="B136" s="8"/>
      <c r="C136" s="8"/>
      <c r="D136" s="8"/>
      <c r="E136" s="7"/>
      <c r="F136" s="49"/>
      <c r="G136" s="5"/>
      <c r="H136" s="10">
        <f t="shared" si="61"/>
        <v>0</v>
      </c>
      <c r="I136" s="49" t="e">
        <f>VLOOKUP(B136,База!$B$8:$I$52,3,FALSE)*60</f>
        <v>#N/A</v>
      </c>
      <c r="J136" s="35" t="e">
        <f>VLOOKUP(B136,База!$B$8:$I$52,7,FALSE)*I136</f>
        <v>#N/A</v>
      </c>
      <c r="K136" s="35" t="e">
        <f>VLOOKUP(B136,База!$B$8:$I$52,6,FALSE)</f>
        <v>#N/A</v>
      </c>
      <c r="L136" s="35" t="e">
        <f t="shared" si="84"/>
        <v>#N/A</v>
      </c>
      <c r="M136" s="9">
        <f t="shared" si="85"/>
        <v>0</v>
      </c>
      <c r="N136" s="53">
        <f t="shared" si="98"/>
        <v>612.23658315042314</v>
      </c>
      <c r="O136" s="53">
        <f t="shared" si="99"/>
        <v>612.23658315042314</v>
      </c>
      <c r="P136" s="53">
        <f t="shared" si="100"/>
        <v>0</v>
      </c>
      <c r="Q136" s="53">
        <f t="shared" si="101"/>
        <v>612.23658315042314</v>
      </c>
      <c r="R136" s="43">
        <f t="shared" si="102"/>
        <v>1</v>
      </c>
      <c r="S136" s="43">
        <f t="shared" si="102"/>
        <v>1</v>
      </c>
      <c r="T136" s="43">
        <f t="shared" si="102"/>
        <v>1</v>
      </c>
      <c r="U136" s="43">
        <f t="shared" si="102"/>
        <v>1</v>
      </c>
      <c r="V136" s="43">
        <f t="shared" si="102"/>
        <v>1</v>
      </c>
      <c r="W136" s="43">
        <f t="shared" si="102"/>
        <v>1</v>
      </c>
      <c r="X136" s="43">
        <f t="shared" si="102"/>
        <v>1</v>
      </c>
      <c r="Y136" s="43">
        <f t="shared" si="102"/>
        <v>1</v>
      </c>
      <c r="Z136" s="43">
        <f t="shared" si="102"/>
        <v>1</v>
      </c>
      <c r="AA136" s="43">
        <f t="shared" si="102"/>
        <v>1</v>
      </c>
      <c r="AB136" s="43">
        <f t="shared" si="103"/>
        <v>1</v>
      </c>
      <c r="AC136" s="43">
        <f t="shared" si="103"/>
        <v>1</v>
      </c>
      <c r="AD136" s="43">
        <f t="shared" si="103"/>
        <v>1</v>
      </c>
      <c r="AE136" s="43">
        <f t="shared" si="103"/>
        <v>1</v>
      </c>
      <c r="AF136" s="43">
        <f t="shared" si="103"/>
        <v>1</v>
      </c>
      <c r="AG136" s="43">
        <f t="shared" si="103"/>
        <v>1</v>
      </c>
      <c r="AH136" s="43">
        <f t="shared" si="103"/>
        <v>1</v>
      </c>
      <c r="AI136" s="43">
        <f t="shared" si="103"/>
        <v>1</v>
      </c>
      <c r="AJ136" s="43">
        <f t="shared" si="103"/>
        <v>1</v>
      </c>
      <c r="AK136" s="43">
        <f t="shared" si="103"/>
        <v>1</v>
      </c>
      <c r="AL136" s="43">
        <f t="shared" si="104"/>
        <v>1</v>
      </c>
      <c r="AM136" s="43">
        <f t="shared" si="104"/>
        <v>1</v>
      </c>
      <c r="AN136" s="43">
        <f t="shared" si="104"/>
        <v>1</v>
      </c>
      <c r="AO136" s="43">
        <f t="shared" si="104"/>
        <v>1</v>
      </c>
      <c r="AP136" s="43">
        <f t="shared" si="104"/>
        <v>1</v>
      </c>
      <c r="AQ136" s="43">
        <f t="shared" si="104"/>
        <v>1</v>
      </c>
      <c r="AR136" s="43">
        <f t="shared" si="104"/>
        <v>1</v>
      </c>
      <c r="AS136" s="43">
        <f t="shared" si="104"/>
        <v>1</v>
      </c>
      <c r="AT136" s="43">
        <f t="shared" si="104"/>
        <v>1</v>
      </c>
      <c r="AU136" s="43">
        <f t="shared" si="104"/>
        <v>1</v>
      </c>
      <c r="AV136" s="43">
        <f t="shared" si="105"/>
        <v>1</v>
      </c>
      <c r="AW136" s="43">
        <f t="shared" si="105"/>
        <v>1</v>
      </c>
      <c r="AX136" s="43">
        <f t="shared" si="105"/>
        <v>1</v>
      </c>
      <c r="AY136" s="43">
        <f t="shared" si="105"/>
        <v>1</v>
      </c>
      <c r="AZ136" s="43">
        <f t="shared" si="105"/>
        <v>1</v>
      </c>
      <c r="BA136" s="43">
        <f t="shared" si="105"/>
        <v>1</v>
      </c>
      <c r="BB136" s="43">
        <f t="shared" si="105"/>
        <v>1</v>
      </c>
      <c r="BC136" s="43">
        <f t="shared" si="105"/>
        <v>1</v>
      </c>
      <c r="BD136" s="43">
        <f t="shared" si="105"/>
        <v>1</v>
      </c>
      <c r="BE136" s="43">
        <f t="shared" si="105"/>
        <v>1</v>
      </c>
      <c r="BF136" s="43">
        <f t="shared" si="106"/>
        <v>1</v>
      </c>
      <c r="BG136" s="43">
        <f t="shared" si="106"/>
        <v>1</v>
      </c>
      <c r="BH136" s="43">
        <f t="shared" si="106"/>
        <v>1</v>
      </c>
      <c r="BI136" s="43">
        <f t="shared" si="106"/>
        <v>1</v>
      </c>
      <c r="BJ136" s="43">
        <f t="shared" si="106"/>
        <v>1</v>
      </c>
      <c r="BK136" s="43">
        <f t="shared" si="106"/>
        <v>1</v>
      </c>
      <c r="BL136" s="43">
        <f t="shared" si="106"/>
        <v>1</v>
      </c>
      <c r="BM136" s="43">
        <f t="shared" si="106"/>
        <v>1</v>
      </c>
      <c r="BN136" s="43">
        <f t="shared" si="106"/>
        <v>1</v>
      </c>
      <c r="BO136" s="43">
        <f t="shared" si="106"/>
        <v>1</v>
      </c>
      <c r="BP136" s="43">
        <f t="shared" si="107"/>
        <v>1</v>
      </c>
      <c r="BQ136" s="43">
        <f t="shared" si="107"/>
        <v>1</v>
      </c>
      <c r="BR136" s="43">
        <f t="shared" si="107"/>
        <v>0</v>
      </c>
      <c r="BS136" s="43">
        <f t="shared" si="107"/>
        <v>0</v>
      </c>
      <c r="BT136" s="43">
        <f t="shared" si="107"/>
        <v>0</v>
      </c>
      <c r="BU136" s="43">
        <f t="shared" si="107"/>
        <v>0</v>
      </c>
      <c r="BV136" s="43">
        <f t="shared" si="107"/>
        <v>0</v>
      </c>
      <c r="BW136" s="43">
        <f t="shared" si="107"/>
        <v>0</v>
      </c>
      <c r="BX136" s="43">
        <f t="shared" si="107"/>
        <v>0</v>
      </c>
      <c r="BY136" s="43">
        <f t="shared" si="107"/>
        <v>0</v>
      </c>
      <c r="BZ136" s="43">
        <f t="shared" si="107"/>
        <v>0</v>
      </c>
      <c r="CA136" s="43">
        <f t="shared" si="107"/>
        <v>0</v>
      </c>
    </row>
    <row r="137" spans="1:79" x14ac:dyDescent="0.25">
      <c r="A137" s="35">
        <v>120</v>
      </c>
      <c r="B137" s="8"/>
      <c r="C137" s="8"/>
      <c r="D137" s="8"/>
      <c r="E137" s="7"/>
      <c r="F137" s="49"/>
      <c r="G137" s="5"/>
      <c r="H137" s="10">
        <f t="shared" si="61"/>
        <v>0</v>
      </c>
      <c r="I137" s="49" t="e">
        <f>VLOOKUP(B137,База!$B$8:$I$52,3,FALSE)*60</f>
        <v>#N/A</v>
      </c>
      <c r="J137" s="35" t="e">
        <f>VLOOKUP(B137,База!$B$8:$I$52,7,FALSE)*I137</f>
        <v>#N/A</v>
      </c>
      <c r="K137" s="35" t="e">
        <f>VLOOKUP(B137,База!$B$8:$I$52,6,FALSE)</f>
        <v>#N/A</v>
      </c>
      <c r="L137" s="35" t="e">
        <f t="shared" si="84"/>
        <v>#N/A</v>
      </c>
      <c r="M137" s="9">
        <f t="shared" si="85"/>
        <v>0</v>
      </c>
      <c r="N137" s="53">
        <f t="shared" si="98"/>
        <v>612.23658315042314</v>
      </c>
      <c r="O137" s="53">
        <f t="shared" si="99"/>
        <v>612.23658315042314</v>
      </c>
      <c r="P137" s="53">
        <f t="shared" si="100"/>
        <v>0</v>
      </c>
      <c r="Q137" s="53">
        <f t="shared" si="101"/>
        <v>612.23658315042314</v>
      </c>
      <c r="R137" s="43">
        <f t="shared" si="102"/>
        <v>1</v>
      </c>
      <c r="S137" s="43">
        <f t="shared" si="102"/>
        <v>1</v>
      </c>
      <c r="T137" s="43">
        <f t="shared" si="102"/>
        <v>1</v>
      </c>
      <c r="U137" s="43">
        <f t="shared" si="102"/>
        <v>1</v>
      </c>
      <c r="V137" s="43">
        <f t="shared" si="102"/>
        <v>1</v>
      </c>
      <c r="W137" s="43">
        <f t="shared" si="102"/>
        <v>1</v>
      </c>
      <c r="X137" s="43">
        <f t="shared" si="102"/>
        <v>1</v>
      </c>
      <c r="Y137" s="43">
        <f t="shared" si="102"/>
        <v>1</v>
      </c>
      <c r="Z137" s="43">
        <f t="shared" si="102"/>
        <v>1</v>
      </c>
      <c r="AA137" s="43">
        <f t="shared" si="102"/>
        <v>1</v>
      </c>
      <c r="AB137" s="43">
        <f t="shared" si="103"/>
        <v>1</v>
      </c>
      <c r="AC137" s="43">
        <f t="shared" si="103"/>
        <v>1</v>
      </c>
      <c r="AD137" s="43">
        <f t="shared" si="103"/>
        <v>1</v>
      </c>
      <c r="AE137" s="43">
        <f t="shared" si="103"/>
        <v>1</v>
      </c>
      <c r="AF137" s="43">
        <f t="shared" si="103"/>
        <v>1</v>
      </c>
      <c r="AG137" s="43">
        <f t="shared" si="103"/>
        <v>1</v>
      </c>
      <c r="AH137" s="43">
        <f t="shared" si="103"/>
        <v>1</v>
      </c>
      <c r="AI137" s="43">
        <f t="shared" si="103"/>
        <v>1</v>
      </c>
      <c r="AJ137" s="43">
        <f t="shared" si="103"/>
        <v>1</v>
      </c>
      <c r="AK137" s="43">
        <f t="shared" si="103"/>
        <v>1</v>
      </c>
      <c r="AL137" s="43">
        <f t="shared" si="104"/>
        <v>1</v>
      </c>
      <c r="AM137" s="43">
        <f t="shared" si="104"/>
        <v>1</v>
      </c>
      <c r="AN137" s="43">
        <f t="shared" si="104"/>
        <v>1</v>
      </c>
      <c r="AO137" s="43">
        <f t="shared" si="104"/>
        <v>1</v>
      </c>
      <c r="AP137" s="43">
        <f t="shared" si="104"/>
        <v>1</v>
      </c>
      <c r="AQ137" s="43">
        <f t="shared" si="104"/>
        <v>1</v>
      </c>
      <c r="AR137" s="43">
        <f t="shared" si="104"/>
        <v>1</v>
      </c>
      <c r="AS137" s="43">
        <f t="shared" si="104"/>
        <v>1</v>
      </c>
      <c r="AT137" s="43">
        <f t="shared" si="104"/>
        <v>1</v>
      </c>
      <c r="AU137" s="43">
        <f t="shared" si="104"/>
        <v>1</v>
      </c>
      <c r="AV137" s="43">
        <f t="shared" si="105"/>
        <v>1</v>
      </c>
      <c r="AW137" s="43">
        <f t="shared" si="105"/>
        <v>1</v>
      </c>
      <c r="AX137" s="43">
        <f t="shared" si="105"/>
        <v>1</v>
      </c>
      <c r="AY137" s="43">
        <f t="shared" si="105"/>
        <v>1</v>
      </c>
      <c r="AZ137" s="43">
        <f t="shared" si="105"/>
        <v>1</v>
      </c>
      <c r="BA137" s="43">
        <f t="shared" si="105"/>
        <v>1</v>
      </c>
      <c r="BB137" s="43">
        <f t="shared" si="105"/>
        <v>1</v>
      </c>
      <c r="BC137" s="43">
        <f t="shared" si="105"/>
        <v>1</v>
      </c>
      <c r="BD137" s="43">
        <f t="shared" si="105"/>
        <v>1</v>
      </c>
      <c r="BE137" s="43">
        <f t="shared" si="105"/>
        <v>1</v>
      </c>
      <c r="BF137" s="43">
        <f t="shared" si="106"/>
        <v>1</v>
      </c>
      <c r="BG137" s="43">
        <f t="shared" si="106"/>
        <v>1</v>
      </c>
      <c r="BH137" s="43">
        <f t="shared" si="106"/>
        <v>1</v>
      </c>
      <c r="BI137" s="43">
        <f t="shared" si="106"/>
        <v>1</v>
      </c>
      <c r="BJ137" s="43">
        <f t="shared" si="106"/>
        <v>1</v>
      </c>
      <c r="BK137" s="43">
        <f t="shared" si="106"/>
        <v>1</v>
      </c>
      <c r="BL137" s="43">
        <f t="shared" si="106"/>
        <v>1</v>
      </c>
      <c r="BM137" s="43">
        <f t="shared" si="106"/>
        <v>1</v>
      </c>
      <c r="BN137" s="43">
        <f t="shared" si="106"/>
        <v>1</v>
      </c>
      <c r="BO137" s="43">
        <f t="shared" si="106"/>
        <v>1</v>
      </c>
      <c r="BP137" s="43">
        <f t="shared" si="107"/>
        <v>1</v>
      </c>
      <c r="BQ137" s="43">
        <f t="shared" si="107"/>
        <v>1</v>
      </c>
      <c r="BR137" s="43">
        <f t="shared" si="107"/>
        <v>0</v>
      </c>
      <c r="BS137" s="43">
        <f t="shared" si="107"/>
        <v>0</v>
      </c>
      <c r="BT137" s="43">
        <f t="shared" si="107"/>
        <v>0</v>
      </c>
      <c r="BU137" s="43">
        <f t="shared" si="107"/>
        <v>0</v>
      </c>
      <c r="BV137" s="43">
        <f t="shared" si="107"/>
        <v>0</v>
      </c>
      <c r="BW137" s="43">
        <f t="shared" si="107"/>
        <v>0</v>
      </c>
      <c r="BX137" s="43">
        <f t="shared" si="107"/>
        <v>0</v>
      </c>
      <c r="BY137" s="43">
        <f t="shared" si="107"/>
        <v>0</v>
      </c>
      <c r="BZ137" s="43">
        <f t="shared" si="107"/>
        <v>0</v>
      </c>
      <c r="CA137" s="43">
        <f t="shared" si="107"/>
        <v>0</v>
      </c>
    </row>
    <row r="138" spans="1:79" x14ac:dyDescent="0.25">
      <c r="A138" s="35">
        <v>121</v>
      </c>
      <c r="B138" s="8"/>
      <c r="C138" s="8"/>
      <c r="D138" s="8"/>
      <c r="E138" s="7"/>
      <c r="F138" s="49"/>
      <c r="G138" s="5"/>
      <c r="H138" s="10">
        <f t="shared" si="61"/>
        <v>0</v>
      </c>
      <c r="I138" s="49" t="e">
        <f>VLOOKUP(B138,База!$B$8:$I$52,3,FALSE)*60</f>
        <v>#N/A</v>
      </c>
      <c r="J138" s="35" t="e">
        <f>VLOOKUP(B138,База!$B$8:$I$52,7,FALSE)*I138</f>
        <v>#N/A</v>
      </c>
      <c r="K138" s="35" t="e">
        <f>VLOOKUP(B138,База!$B$8:$I$52,6,FALSE)</f>
        <v>#N/A</v>
      </c>
      <c r="L138" s="35" t="e">
        <f t="shared" si="84"/>
        <v>#N/A</v>
      </c>
      <c r="M138" s="9">
        <f t="shared" si="85"/>
        <v>0</v>
      </c>
      <c r="N138" s="53">
        <f t="shared" si="98"/>
        <v>612.23658315042314</v>
      </c>
      <c r="O138" s="53">
        <f t="shared" si="99"/>
        <v>612.23658315042314</v>
      </c>
      <c r="P138" s="53">
        <f t="shared" si="100"/>
        <v>0</v>
      </c>
      <c r="Q138" s="53">
        <f t="shared" si="101"/>
        <v>612.23658315042314</v>
      </c>
      <c r="R138" s="43">
        <f t="shared" si="102"/>
        <v>1</v>
      </c>
      <c r="S138" s="43">
        <f t="shared" si="102"/>
        <v>1</v>
      </c>
      <c r="T138" s="43">
        <f t="shared" si="102"/>
        <v>1</v>
      </c>
      <c r="U138" s="43">
        <f t="shared" si="102"/>
        <v>1</v>
      </c>
      <c r="V138" s="43">
        <f t="shared" si="102"/>
        <v>1</v>
      </c>
      <c r="W138" s="43">
        <f t="shared" si="102"/>
        <v>1</v>
      </c>
      <c r="X138" s="43">
        <f t="shared" si="102"/>
        <v>1</v>
      </c>
      <c r="Y138" s="43">
        <f t="shared" si="102"/>
        <v>1</v>
      </c>
      <c r="Z138" s="43">
        <f t="shared" si="102"/>
        <v>1</v>
      </c>
      <c r="AA138" s="43">
        <f t="shared" si="102"/>
        <v>1</v>
      </c>
      <c r="AB138" s="43">
        <f t="shared" si="103"/>
        <v>1</v>
      </c>
      <c r="AC138" s="43">
        <f t="shared" si="103"/>
        <v>1</v>
      </c>
      <c r="AD138" s="43">
        <f t="shared" si="103"/>
        <v>1</v>
      </c>
      <c r="AE138" s="43">
        <f t="shared" si="103"/>
        <v>1</v>
      </c>
      <c r="AF138" s="43">
        <f t="shared" si="103"/>
        <v>1</v>
      </c>
      <c r="AG138" s="43">
        <f t="shared" si="103"/>
        <v>1</v>
      </c>
      <c r="AH138" s="43">
        <f t="shared" si="103"/>
        <v>1</v>
      </c>
      <c r="AI138" s="43">
        <f t="shared" si="103"/>
        <v>1</v>
      </c>
      <c r="AJ138" s="43">
        <f t="shared" si="103"/>
        <v>1</v>
      </c>
      <c r="AK138" s="43">
        <f t="shared" si="103"/>
        <v>1</v>
      </c>
      <c r="AL138" s="43">
        <f t="shared" si="104"/>
        <v>1</v>
      </c>
      <c r="AM138" s="43">
        <f t="shared" si="104"/>
        <v>1</v>
      </c>
      <c r="AN138" s="43">
        <f t="shared" si="104"/>
        <v>1</v>
      </c>
      <c r="AO138" s="43">
        <f t="shared" si="104"/>
        <v>1</v>
      </c>
      <c r="AP138" s="43">
        <f t="shared" si="104"/>
        <v>1</v>
      </c>
      <c r="AQ138" s="43">
        <f t="shared" si="104"/>
        <v>1</v>
      </c>
      <c r="AR138" s="43">
        <f t="shared" si="104"/>
        <v>1</v>
      </c>
      <c r="AS138" s="43">
        <f t="shared" si="104"/>
        <v>1</v>
      </c>
      <c r="AT138" s="43">
        <f t="shared" si="104"/>
        <v>1</v>
      </c>
      <c r="AU138" s="43">
        <f t="shared" si="104"/>
        <v>1</v>
      </c>
      <c r="AV138" s="43">
        <f t="shared" si="105"/>
        <v>1</v>
      </c>
      <c r="AW138" s="43">
        <f t="shared" si="105"/>
        <v>1</v>
      </c>
      <c r="AX138" s="43">
        <f t="shared" si="105"/>
        <v>1</v>
      </c>
      <c r="AY138" s="43">
        <f t="shared" si="105"/>
        <v>1</v>
      </c>
      <c r="AZ138" s="43">
        <f t="shared" si="105"/>
        <v>1</v>
      </c>
      <c r="BA138" s="43">
        <f t="shared" si="105"/>
        <v>1</v>
      </c>
      <c r="BB138" s="43">
        <f t="shared" si="105"/>
        <v>1</v>
      </c>
      <c r="BC138" s="43">
        <f t="shared" si="105"/>
        <v>1</v>
      </c>
      <c r="BD138" s="43">
        <f t="shared" si="105"/>
        <v>1</v>
      </c>
      <c r="BE138" s="43">
        <f t="shared" si="105"/>
        <v>1</v>
      </c>
      <c r="BF138" s="43">
        <f t="shared" si="106"/>
        <v>1</v>
      </c>
      <c r="BG138" s="43">
        <f t="shared" si="106"/>
        <v>1</v>
      </c>
      <c r="BH138" s="43">
        <f t="shared" si="106"/>
        <v>1</v>
      </c>
      <c r="BI138" s="43">
        <f t="shared" si="106"/>
        <v>1</v>
      </c>
      <c r="BJ138" s="43">
        <f t="shared" si="106"/>
        <v>1</v>
      </c>
      <c r="BK138" s="43">
        <f t="shared" si="106"/>
        <v>1</v>
      </c>
      <c r="BL138" s="43">
        <f t="shared" si="106"/>
        <v>1</v>
      </c>
      <c r="BM138" s="43">
        <f t="shared" si="106"/>
        <v>1</v>
      </c>
      <c r="BN138" s="43">
        <f t="shared" si="106"/>
        <v>1</v>
      </c>
      <c r="BO138" s="43">
        <f t="shared" si="106"/>
        <v>1</v>
      </c>
      <c r="BP138" s="43">
        <f t="shared" si="107"/>
        <v>1</v>
      </c>
      <c r="BQ138" s="43">
        <f t="shared" si="107"/>
        <v>1</v>
      </c>
      <c r="BR138" s="43">
        <f t="shared" si="107"/>
        <v>0</v>
      </c>
      <c r="BS138" s="43">
        <f t="shared" si="107"/>
        <v>0</v>
      </c>
      <c r="BT138" s="43">
        <f t="shared" si="107"/>
        <v>0</v>
      </c>
      <c r="BU138" s="43">
        <f t="shared" si="107"/>
        <v>0</v>
      </c>
      <c r="BV138" s="43">
        <f t="shared" si="107"/>
        <v>0</v>
      </c>
      <c r="BW138" s="43">
        <f t="shared" si="107"/>
        <v>0</v>
      </c>
      <c r="BX138" s="43">
        <f t="shared" si="107"/>
        <v>0</v>
      </c>
      <c r="BY138" s="43">
        <f t="shared" si="107"/>
        <v>0</v>
      </c>
      <c r="BZ138" s="43">
        <f t="shared" si="107"/>
        <v>0</v>
      </c>
      <c r="CA138" s="43">
        <f t="shared" si="107"/>
        <v>0</v>
      </c>
    </row>
    <row r="139" spans="1:79" x14ac:dyDescent="0.25">
      <c r="A139" s="35">
        <v>122</v>
      </c>
      <c r="B139" s="8"/>
      <c r="C139" s="8"/>
      <c r="D139" s="8"/>
      <c r="E139" s="7"/>
      <c r="F139" s="49"/>
      <c r="G139" s="5"/>
      <c r="H139" s="10">
        <f t="shared" si="61"/>
        <v>0</v>
      </c>
      <c r="I139" s="49" t="e">
        <f>VLOOKUP(B139,База!$B$8:$I$52,3,FALSE)*60</f>
        <v>#N/A</v>
      </c>
      <c r="J139" s="35" t="e">
        <f>VLOOKUP(B139,База!$B$8:$I$52,7,FALSE)*I139</f>
        <v>#N/A</v>
      </c>
      <c r="K139" s="35" t="e">
        <f>VLOOKUP(B139,База!$B$8:$I$52,6,FALSE)</f>
        <v>#N/A</v>
      </c>
      <c r="L139" s="35" t="e">
        <f t="shared" si="84"/>
        <v>#N/A</v>
      </c>
      <c r="M139" s="9">
        <f t="shared" si="85"/>
        <v>0</v>
      </c>
      <c r="N139" s="53">
        <f t="shared" si="98"/>
        <v>612.23658315042314</v>
      </c>
      <c r="O139" s="53">
        <f t="shared" si="99"/>
        <v>612.23658315042314</v>
      </c>
      <c r="P139" s="53">
        <f t="shared" si="100"/>
        <v>0</v>
      </c>
      <c r="Q139" s="53">
        <f t="shared" si="101"/>
        <v>612.23658315042314</v>
      </c>
      <c r="R139" s="43">
        <f t="shared" si="102"/>
        <v>1</v>
      </c>
      <c r="S139" s="43">
        <f t="shared" si="102"/>
        <v>1</v>
      </c>
      <c r="T139" s="43">
        <f t="shared" si="102"/>
        <v>1</v>
      </c>
      <c r="U139" s="43">
        <f t="shared" si="102"/>
        <v>1</v>
      </c>
      <c r="V139" s="43">
        <f t="shared" si="102"/>
        <v>1</v>
      </c>
      <c r="W139" s="43">
        <f t="shared" si="102"/>
        <v>1</v>
      </c>
      <c r="X139" s="43">
        <f t="shared" si="102"/>
        <v>1</v>
      </c>
      <c r="Y139" s="43">
        <f t="shared" si="102"/>
        <v>1</v>
      </c>
      <c r="Z139" s="43">
        <f t="shared" si="102"/>
        <v>1</v>
      </c>
      <c r="AA139" s="43">
        <f t="shared" si="102"/>
        <v>1</v>
      </c>
      <c r="AB139" s="43">
        <f t="shared" si="103"/>
        <v>1</v>
      </c>
      <c r="AC139" s="43">
        <f t="shared" si="103"/>
        <v>1</v>
      </c>
      <c r="AD139" s="43">
        <f t="shared" si="103"/>
        <v>1</v>
      </c>
      <c r="AE139" s="43">
        <f t="shared" si="103"/>
        <v>1</v>
      </c>
      <c r="AF139" s="43">
        <f t="shared" si="103"/>
        <v>1</v>
      </c>
      <c r="AG139" s="43">
        <f t="shared" si="103"/>
        <v>1</v>
      </c>
      <c r="AH139" s="43">
        <f t="shared" si="103"/>
        <v>1</v>
      </c>
      <c r="AI139" s="43">
        <f t="shared" si="103"/>
        <v>1</v>
      </c>
      <c r="AJ139" s="43">
        <f t="shared" si="103"/>
        <v>1</v>
      </c>
      <c r="AK139" s="43">
        <f t="shared" si="103"/>
        <v>1</v>
      </c>
      <c r="AL139" s="43">
        <f t="shared" si="104"/>
        <v>1</v>
      </c>
      <c r="AM139" s="43">
        <f t="shared" si="104"/>
        <v>1</v>
      </c>
      <c r="AN139" s="43">
        <f t="shared" si="104"/>
        <v>1</v>
      </c>
      <c r="AO139" s="43">
        <f t="shared" si="104"/>
        <v>1</v>
      </c>
      <c r="AP139" s="43">
        <f t="shared" si="104"/>
        <v>1</v>
      </c>
      <c r="AQ139" s="43">
        <f t="shared" si="104"/>
        <v>1</v>
      </c>
      <c r="AR139" s="43">
        <f t="shared" si="104"/>
        <v>1</v>
      </c>
      <c r="AS139" s="43">
        <f t="shared" si="104"/>
        <v>1</v>
      </c>
      <c r="AT139" s="43">
        <f t="shared" si="104"/>
        <v>1</v>
      </c>
      <c r="AU139" s="43">
        <f t="shared" si="104"/>
        <v>1</v>
      </c>
      <c r="AV139" s="43">
        <f t="shared" si="105"/>
        <v>1</v>
      </c>
      <c r="AW139" s="43">
        <f t="shared" si="105"/>
        <v>1</v>
      </c>
      <c r="AX139" s="43">
        <f t="shared" si="105"/>
        <v>1</v>
      </c>
      <c r="AY139" s="43">
        <f t="shared" si="105"/>
        <v>1</v>
      </c>
      <c r="AZ139" s="43">
        <f t="shared" si="105"/>
        <v>1</v>
      </c>
      <c r="BA139" s="43">
        <f t="shared" si="105"/>
        <v>1</v>
      </c>
      <c r="BB139" s="43">
        <f t="shared" si="105"/>
        <v>1</v>
      </c>
      <c r="BC139" s="43">
        <f t="shared" si="105"/>
        <v>1</v>
      </c>
      <c r="BD139" s="43">
        <f t="shared" si="105"/>
        <v>1</v>
      </c>
      <c r="BE139" s="43">
        <f t="shared" si="105"/>
        <v>1</v>
      </c>
      <c r="BF139" s="43">
        <f t="shared" si="106"/>
        <v>1</v>
      </c>
      <c r="BG139" s="43">
        <f t="shared" si="106"/>
        <v>1</v>
      </c>
      <c r="BH139" s="43">
        <f t="shared" si="106"/>
        <v>1</v>
      </c>
      <c r="BI139" s="43">
        <f t="shared" si="106"/>
        <v>1</v>
      </c>
      <c r="BJ139" s="43">
        <f t="shared" si="106"/>
        <v>1</v>
      </c>
      <c r="BK139" s="43">
        <f t="shared" si="106"/>
        <v>1</v>
      </c>
      <c r="BL139" s="43">
        <f t="shared" si="106"/>
        <v>1</v>
      </c>
      <c r="BM139" s="43">
        <f t="shared" si="106"/>
        <v>1</v>
      </c>
      <c r="BN139" s="43">
        <f t="shared" si="106"/>
        <v>1</v>
      </c>
      <c r="BO139" s="43">
        <f t="shared" si="106"/>
        <v>1</v>
      </c>
      <c r="BP139" s="43">
        <f t="shared" si="107"/>
        <v>1</v>
      </c>
      <c r="BQ139" s="43">
        <f t="shared" si="107"/>
        <v>1</v>
      </c>
      <c r="BR139" s="43">
        <f t="shared" si="107"/>
        <v>0</v>
      </c>
      <c r="BS139" s="43">
        <f t="shared" si="107"/>
        <v>0</v>
      </c>
      <c r="BT139" s="43">
        <f t="shared" si="107"/>
        <v>0</v>
      </c>
      <c r="BU139" s="43">
        <f t="shared" si="107"/>
        <v>0</v>
      </c>
      <c r="BV139" s="43">
        <f t="shared" si="107"/>
        <v>0</v>
      </c>
      <c r="BW139" s="43">
        <f t="shared" si="107"/>
        <v>0</v>
      </c>
      <c r="BX139" s="43">
        <f t="shared" si="107"/>
        <v>0</v>
      </c>
      <c r="BY139" s="43">
        <f t="shared" si="107"/>
        <v>0</v>
      </c>
      <c r="BZ139" s="43">
        <f t="shared" si="107"/>
        <v>0</v>
      </c>
      <c r="CA139" s="43">
        <f t="shared" si="107"/>
        <v>0</v>
      </c>
    </row>
    <row r="142" spans="1:79" x14ac:dyDescent="0.25">
      <c r="G142" s="37"/>
      <c r="H142" s="37"/>
      <c r="I142" s="37"/>
    </row>
    <row r="143" spans="1:79" x14ac:dyDescent="0.25">
      <c r="G143" s="37"/>
      <c r="H143" s="37"/>
      <c r="I143" s="37"/>
    </row>
  </sheetData>
  <autoFilter ref="A11:CA140">
    <sortState ref="A17:BY25">
      <sortCondition ref="A5:A134"/>
    </sortState>
  </autoFilter>
  <mergeCells count="31">
    <mergeCell ref="BL8:BM8"/>
    <mergeCell ref="AP8:AQ8"/>
    <mergeCell ref="AR8:AS8"/>
    <mergeCell ref="AT8:AU8"/>
    <mergeCell ref="AV8:AW8"/>
    <mergeCell ref="AX8:AY8"/>
    <mergeCell ref="AZ8:BA8"/>
    <mergeCell ref="BB8:BC8"/>
    <mergeCell ref="BD8:BE8"/>
    <mergeCell ref="BF8:BG8"/>
    <mergeCell ref="BH8:BI8"/>
    <mergeCell ref="BJ8:BK8"/>
    <mergeCell ref="AN8:AO8"/>
    <mergeCell ref="R8:S8"/>
    <mergeCell ref="T8:U8"/>
    <mergeCell ref="V8:W8"/>
    <mergeCell ref="X8:Y8"/>
    <mergeCell ref="Z8:AA8"/>
    <mergeCell ref="AB8:AC8"/>
    <mergeCell ref="AD8:AE8"/>
    <mergeCell ref="AF8:AG8"/>
    <mergeCell ref="AH8:AI8"/>
    <mergeCell ref="AJ8:AK8"/>
    <mergeCell ref="AL8:AM8"/>
    <mergeCell ref="BX8:BY8"/>
    <mergeCell ref="BZ8:CA8"/>
    <mergeCell ref="BN8:BO8"/>
    <mergeCell ref="BP8:BQ8"/>
    <mergeCell ref="BR8:BS8"/>
    <mergeCell ref="BT8:BU8"/>
    <mergeCell ref="BV8:BW8"/>
  </mergeCells>
  <conditionalFormatting sqref="R12:CA139">
    <cfRule type="cellIs" dxfId="14" priority="4" operator="equal">
      <formula>0</formula>
    </cfRule>
    <cfRule type="cellIs" dxfId="13" priority="5" operator="greaterThan">
      <formula>1</formula>
    </cfRule>
  </conditionalFormatting>
  <conditionalFormatting sqref="AX12:AX139 BA12:BA139 BD12:BD139 BG12:BG139 BJ12:BJ139 BM12:BM139 BP12:BP139 BV12:BV139 BS12:BS139 BY12:BY139 CA12:CA139">
    <cfRule type="cellIs" dxfId="12" priority="2" operator="equal">
      <formula>0</formula>
    </cfRule>
    <cfRule type="cellIs" dxfId="11" priority="3" operator="equal">
      <formula>1</formula>
    </cfRule>
  </conditionalFormatting>
  <conditionalFormatting sqref="R12:CA139">
    <cfRule type="cellIs" dxfId="1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Планирование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12</xdr:col>
                    <xdr:colOff>28575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</sheetPr>
  <dimension ref="A1:FN133"/>
  <sheetViews>
    <sheetView zoomScale="70" zoomScaleNormal="70" workbookViewId="0"/>
  </sheetViews>
  <sheetFormatPr defaultRowHeight="15" outlineLevelCol="1" x14ac:dyDescent="0.25"/>
  <cols>
    <col min="1" max="1" width="10.85546875" style="28" customWidth="1"/>
    <col min="2" max="2" width="5.140625" style="28" customWidth="1"/>
    <col min="3" max="3" width="54.42578125" style="28" customWidth="1"/>
    <col min="4" max="5" width="36.5703125" style="28" customWidth="1"/>
    <col min="6" max="6" width="16.42578125" style="28" customWidth="1" outlineLevel="1"/>
    <col min="7" max="7" width="16.42578125" style="29" customWidth="1"/>
    <col min="8" max="8" width="22.85546875" style="28" customWidth="1"/>
    <col min="9" max="10" width="9.42578125" style="28" customWidth="1" outlineLevel="1"/>
    <col min="11" max="12" width="6.28515625" style="28" customWidth="1" outlineLevel="1"/>
    <col min="13" max="14" width="6.140625" style="28" customWidth="1" outlineLevel="1"/>
    <col min="15" max="16" width="8.28515625" style="28" customWidth="1" outlineLevel="1"/>
    <col min="17" max="18" width="8.28515625" style="29" customWidth="1" outlineLevel="1"/>
    <col min="19" max="27" width="7.42578125" style="44" customWidth="1"/>
    <col min="28" max="39" width="7.42578125" style="45" customWidth="1"/>
    <col min="40" max="80" width="4.7109375" style="45" customWidth="1"/>
    <col min="81" max="16384" width="9.140625" style="28"/>
  </cols>
  <sheetData>
    <row r="1" spans="1:170" x14ac:dyDescent="0.25">
      <c r="A1" s="61" t="s">
        <v>91</v>
      </c>
    </row>
    <row r="2" spans="1:170" x14ac:dyDescent="0.25">
      <c r="A2" s="61" t="s">
        <v>92</v>
      </c>
      <c r="C2" s="28" t="s">
        <v>75</v>
      </c>
      <c r="F2" s="61" t="s">
        <v>92</v>
      </c>
      <c r="G2" s="63">
        <f>SUM(S2:CB2)</f>
        <v>496</v>
      </c>
      <c r="S2" s="74">
        <v>1</v>
      </c>
      <c r="T2" s="74"/>
      <c r="U2" s="74">
        <v>2</v>
      </c>
      <c r="V2" s="74"/>
      <c r="W2" s="74">
        <v>3</v>
      </c>
      <c r="X2" s="74"/>
      <c r="Y2" s="74">
        <v>4</v>
      </c>
      <c r="Z2" s="74"/>
      <c r="AA2" s="74">
        <v>5</v>
      </c>
      <c r="AB2" s="74"/>
      <c r="AC2" s="74">
        <v>6</v>
      </c>
      <c r="AD2" s="74"/>
      <c r="AE2" s="74">
        <v>7</v>
      </c>
      <c r="AF2" s="74"/>
      <c r="AG2" s="74">
        <v>8</v>
      </c>
      <c r="AH2" s="74"/>
      <c r="AI2" s="74">
        <v>9</v>
      </c>
      <c r="AJ2" s="74"/>
      <c r="AK2" s="74">
        <v>10</v>
      </c>
      <c r="AL2" s="74"/>
      <c r="AM2" s="74">
        <v>11</v>
      </c>
      <c r="AN2" s="74"/>
      <c r="AO2" s="74">
        <v>12</v>
      </c>
      <c r="AP2" s="74"/>
      <c r="AQ2" s="74">
        <v>13</v>
      </c>
      <c r="AR2" s="74"/>
      <c r="AS2" s="74">
        <v>14</v>
      </c>
      <c r="AT2" s="74"/>
      <c r="AU2" s="74">
        <v>15</v>
      </c>
      <c r="AV2" s="74"/>
      <c r="AW2" s="74">
        <v>16</v>
      </c>
      <c r="AX2" s="74"/>
      <c r="AY2" s="74">
        <v>17</v>
      </c>
      <c r="AZ2" s="74"/>
      <c r="BA2" s="74">
        <v>18</v>
      </c>
      <c r="BB2" s="74"/>
      <c r="BC2" s="74">
        <v>19</v>
      </c>
      <c r="BD2" s="74"/>
      <c r="BE2" s="74">
        <v>20</v>
      </c>
      <c r="BF2" s="74"/>
      <c r="BG2" s="74">
        <v>21</v>
      </c>
      <c r="BH2" s="74"/>
      <c r="BI2" s="74">
        <v>22</v>
      </c>
      <c r="BJ2" s="74"/>
      <c r="BK2" s="74">
        <v>23</v>
      </c>
      <c r="BL2" s="74"/>
      <c r="BM2" s="74">
        <v>24</v>
      </c>
      <c r="BN2" s="74"/>
      <c r="BO2" s="74">
        <v>25</v>
      </c>
      <c r="BP2" s="74"/>
      <c r="BQ2" s="74">
        <v>26</v>
      </c>
      <c r="BR2" s="74"/>
      <c r="BS2" s="74">
        <v>27</v>
      </c>
      <c r="BT2" s="74"/>
      <c r="BU2" s="74">
        <v>28</v>
      </c>
      <c r="BV2" s="74"/>
      <c r="BW2" s="74">
        <v>29</v>
      </c>
      <c r="BX2" s="74"/>
      <c r="BY2" s="74">
        <v>30</v>
      </c>
      <c r="BZ2" s="74"/>
      <c r="CA2" s="74">
        <v>31</v>
      </c>
      <c r="CB2" s="74"/>
    </row>
    <row r="3" spans="1:170" x14ac:dyDescent="0.25">
      <c r="A3" s="61" t="s">
        <v>93</v>
      </c>
      <c r="F3" s="61" t="s">
        <v>93</v>
      </c>
      <c r="G3" s="64">
        <f>G2-G1</f>
        <v>496</v>
      </c>
      <c r="K3" s="30"/>
      <c r="L3" s="30"/>
      <c r="M3" s="30"/>
      <c r="N3" s="30"/>
      <c r="O3" s="30"/>
      <c r="P3" s="30"/>
      <c r="S3" s="48" t="s">
        <v>81</v>
      </c>
      <c r="T3" s="48" t="s">
        <v>82</v>
      </c>
      <c r="U3" s="48" t="s">
        <v>83</v>
      </c>
      <c r="V3" s="48" t="s">
        <v>81</v>
      </c>
      <c r="W3" s="48" t="s">
        <v>82</v>
      </c>
      <c r="X3" s="48" t="s">
        <v>83</v>
      </c>
      <c r="Y3" s="48" t="s">
        <v>81</v>
      </c>
      <c r="Z3" s="48" t="s">
        <v>82</v>
      </c>
      <c r="AA3" s="48" t="s">
        <v>83</v>
      </c>
      <c r="AB3" s="48" t="s">
        <v>81</v>
      </c>
      <c r="AC3" s="48" t="s">
        <v>82</v>
      </c>
      <c r="AD3" s="48" t="s">
        <v>83</v>
      </c>
      <c r="AE3" s="48" t="s">
        <v>81</v>
      </c>
      <c r="AF3" s="48" t="s">
        <v>82</v>
      </c>
      <c r="AG3" s="48" t="s">
        <v>83</v>
      </c>
      <c r="AH3" s="48" t="s">
        <v>81</v>
      </c>
      <c r="AI3" s="48" t="s">
        <v>82</v>
      </c>
      <c r="AJ3" s="48" t="s">
        <v>83</v>
      </c>
      <c r="AK3" s="48" t="s">
        <v>81</v>
      </c>
      <c r="AL3" s="48" t="s">
        <v>82</v>
      </c>
      <c r="AM3" s="48" t="s">
        <v>83</v>
      </c>
      <c r="AN3" s="48" t="s">
        <v>81</v>
      </c>
      <c r="AO3" s="48" t="s">
        <v>82</v>
      </c>
      <c r="AP3" s="48" t="s">
        <v>83</v>
      </c>
      <c r="AQ3" s="48" t="s">
        <v>81</v>
      </c>
      <c r="AR3" s="48" t="s">
        <v>82</v>
      </c>
      <c r="AS3" s="48" t="s">
        <v>83</v>
      </c>
      <c r="AT3" s="48" t="s">
        <v>81</v>
      </c>
      <c r="AU3" s="48" t="s">
        <v>82</v>
      </c>
      <c r="AV3" s="48" t="s">
        <v>83</v>
      </c>
      <c r="AW3" s="48" t="s">
        <v>81</v>
      </c>
      <c r="AX3" s="48" t="s">
        <v>82</v>
      </c>
      <c r="AY3" s="48" t="s">
        <v>83</v>
      </c>
      <c r="AZ3" s="48" t="s">
        <v>81</v>
      </c>
      <c r="BA3" s="48" t="s">
        <v>82</v>
      </c>
      <c r="BB3" s="48" t="s">
        <v>83</v>
      </c>
      <c r="BC3" s="48" t="s">
        <v>81</v>
      </c>
      <c r="BD3" s="48" t="s">
        <v>82</v>
      </c>
      <c r="BE3" s="48" t="s">
        <v>83</v>
      </c>
      <c r="BF3" s="48" t="s">
        <v>81</v>
      </c>
      <c r="BG3" s="48" t="s">
        <v>82</v>
      </c>
      <c r="BH3" s="48" t="s">
        <v>83</v>
      </c>
      <c r="BI3" s="48" t="s">
        <v>81</v>
      </c>
      <c r="BJ3" s="48" t="s">
        <v>82</v>
      </c>
      <c r="BK3" s="48" t="s">
        <v>83</v>
      </c>
      <c r="BL3" s="48" t="s">
        <v>81</v>
      </c>
      <c r="BM3" s="48" t="s">
        <v>82</v>
      </c>
      <c r="BN3" s="48" t="s">
        <v>83</v>
      </c>
      <c r="BO3" s="48" t="s">
        <v>81</v>
      </c>
      <c r="BP3" s="48" t="s">
        <v>82</v>
      </c>
      <c r="BQ3" s="48" t="s">
        <v>83</v>
      </c>
      <c r="BR3" s="48" t="s">
        <v>81</v>
      </c>
      <c r="BS3" s="48" t="s">
        <v>82</v>
      </c>
      <c r="BT3" s="48" t="s">
        <v>83</v>
      </c>
      <c r="BU3" s="48" t="s">
        <v>81</v>
      </c>
      <c r="BV3" s="48" t="s">
        <v>82</v>
      </c>
      <c r="BW3" s="48" t="s">
        <v>83</v>
      </c>
      <c r="BX3" s="48" t="s">
        <v>81</v>
      </c>
      <c r="BY3" s="48" t="s">
        <v>82</v>
      </c>
      <c r="BZ3" s="48" t="s">
        <v>83</v>
      </c>
      <c r="CA3" s="48" t="s">
        <v>82</v>
      </c>
      <c r="CB3" s="48" t="s">
        <v>83</v>
      </c>
    </row>
    <row r="4" spans="1:170" s="34" customFormat="1" ht="116.25" customHeight="1" x14ac:dyDescent="0.25">
      <c r="B4" s="31" t="s">
        <v>76</v>
      </c>
      <c r="C4" s="31" t="s">
        <v>77</v>
      </c>
      <c r="D4" s="68" t="s">
        <v>97</v>
      </c>
      <c r="E4" s="68" t="s">
        <v>98</v>
      </c>
      <c r="F4" s="21" t="s">
        <v>69</v>
      </c>
      <c r="G4" s="21" t="s">
        <v>95</v>
      </c>
      <c r="H4" s="21" t="s">
        <v>54</v>
      </c>
      <c r="I4" s="21" t="s">
        <v>96</v>
      </c>
      <c r="J4" s="52" t="s">
        <v>89</v>
      </c>
      <c r="K4" s="38" t="s">
        <v>84</v>
      </c>
      <c r="L4" s="51" t="s">
        <v>88</v>
      </c>
      <c r="M4" s="38" t="s">
        <v>85</v>
      </c>
      <c r="N4" s="39" t="s">
        <v>86</v>
      </c>
      <c r="O4" s="32" t="s">
        <v>78</v>
      </c>
      <c r="P4" s="32" t="s">
        <v>79</v>
      </c>
      <c r="Q4" s="32" t="s">
        <v>87</v>
      </c>
      <c r="R4" s="31" t="s">
        <v>80</v>
      </c>
      <c r="S4" s="42">
        <v>0</v>
      </c>
      <c r="T4" s="42">
        <v>12</v>
      </c>
      <c r="U4" s="42">
        <v>24</v>
      </c>
      <c r="V4" s="42">
        <v>36</v>
      </c>
      <c r="W4" s="42">
        <v>48</v>
      </c>
      <c r="X4" s="42">
        <v>60</v>
      </c>
      <c r="Y4" s="42">
        <v>72</v>
      </c>
      <c r="Z4" s="42">
        <v>84</v>
      </c>
      <c r="AA4" s="42">
        <v>96</v>
      </c>
      <c r="AB4" s="42">
        <v>108</v>
      </c>
      <c r="AC4" s="42">
        <v>120</v>
      </c>
      <c r="AD4" s="42">
        <v>132</v>
      </c>
      <c r="AE4" s="42">
        <v>144</v>
      </c>
      <c r="AF4" s="42">
        <v>156</v>
      </c>
      <c r="AG4" s="42">
        <v>168</v>
      </c>
      <c r="AH4" s="42">
        <v>180</v>
      </c>
      <c r="AI4" s="42">
        <v>192</v>
      </c>
      <c r="AJ4" s="42">
        <v>204</v>
      </c>
      <c r="AK4" s="42">
        <v>216</v>
      </c>
      <c r="AL4" s="42">
        <v>228</v>
      </c>
      <c r="AM4" s="42">
        <v>240</v>
      </c>
      <c r="AN4" s="42">
        <v>252</v>
      </c>
      <c r="AO4" s="42">
        <v>264</v>
      </c>
      <c r="AP4" s="42">
        <v>276</v>
      </c>
      <c r="AQ4" s="42">
        <v>288</v>
      </c>
      <c r="AR4" s="42">
        <v>300</v>
      </c>
      <c r="AS4" s="42">
        <v>312</v>
      </c>
      <c r="AT4" s="42">
        <v>324</v>
      </c>
      <c r="AU4" s="42">
        <v>336</v>
      </c>
      <c r="AV4" s="42">
        <v>348</v>
      </c>
      <c r="AW4" s="42">
        <v>360</v>
      </c>
      <c r="AX4" s="42">
        <v>372</v>
      </c>
      <c r="AY4" s="42">
        <v>384</v>
      </c>
      <c r="AZ4" s="42">
        <v>396</v>
      </c>
      <c r="BA4" s="42">
        <v>408</v>
      </c>
      <c r="BB4" s="42">
        <v>420</v>
      </c>
      <c r="BC4" s="42">
        <v>432</v>
      </c>
      <c r="BD4" s="42">
        <v>444</v>
      </c>
      <c r="BE4" s="42">
        <v>456</v>
      </c>
      <c r="BF4" s="42">
        <v>468</v>
      </c>
      <c r="BG4" s="42">
        <v>480</v>
      </c>
      <c r="BH4" s="42">
        <v>492</v>
      </c>
      <c r="BI4" s="42">
        <v>504</v>
      </c>
      <c r="BJ4" s="42">
        <v>516</v>
      </c>
      <c r="BK4" s="42">
        <v>528</v>
      </c>
      <c r="BL4" s="42">
        <v>540</v>
      </c>
      <c r="BM4" s="42">
        <v>552</v>
      </c>
      <c r="BN4" s="42">
        <v>564</v>
      </c>
      <c r="BO4" s="42">
        <v>576</v>
      </c>
      <c r="BP4" s="42">
        <v>588</v>
      </c>
      <c r="BQ4" s="42">
        <v>600</v>
      </c>
      <c r="BR4" s="42">
        <v>612</v>
      </c>
      <c r="BS4" s="42">
        <v>624</v>
      </c>
      <c r="BT4" s="42">
        <v>636</v>
      </c>
      <c r="BU4" s="42">
        <v>648</v>
      </c>
      <c r="BV4" s="42">
        <v>660</v>
      </c>
      <c r="BW4" s="42">
        <v>672</v>
      </c>
      <c r="BX4" s="42">
        <v>684</v>
      </c>
      <c r="BY4" s="42">
        <v>696</v>
      </c>
      <c r="BZ4" s="42">
        <v>708</v>
      </c>
      <c r="CA4" s="42">
        <v>720</v>
      </c>
      <c r="CB4" s="42">
        <v>732</v>
      </c>
    </row>
    <row r="5" spans="1:170" s="34" customFormat="1" ht="18" customHeight="1" x14ac:dyDescent="0.25">
      <c r="B5" s="31"/>
      <c r="C5" s="31"/>
      <c r="D5" s="31"/>
      <c r="E5" s="31"/>
      <c r="F5" s="31"/>
      <c r="G5" s="31"/>
      <c r="H5" s="31"/>
      <c r="I5" s="31"/>
      <c r="J5" s="31"/>
      <c r="K5" s="40"/>
      <c r="L5" s="40"/>
      <c r="M5" s="40"/>
      <c r="N5" s="40"/>
      <c r="O5" s="60">
        <v>0</v>
      </c>
      <c r="P5" s="60">
        <f>O5+N5</f>
        <v>0</v>
      </c>
      <c r="Q5" s="60">
        <f>P5-O5</f>
        <v>0</v>
      </c>
      <c r="R5" s="60">
        <f>Q5</f>
        <v>0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170" x14ac:dyDescent="0.25">
      <c r="A6" s="61"/>
      <c r="B6" s="35">
        <v>1</v>
      </c>
      <c r="C6" s="8" t="s">
        <v>14</v>
      </c>
      <c r="D6" s="8"/>
      <c r="E6" s="8"/>
      <c r="F6" s="7">
        <v>1018</v>
      </c>
      <c r="G6" s="49">
        <v>9.4639188095386402</v>
      </c>
      <c r="H6" s="5" t="s">
        <v>55</v>
      </c>
      <c r="I6" s="10">
        <v>21.577319801589773</v>
      </c>
      <c r="J6" s="49">
        <v>6</v>
      </c>
      <c r="K6" s="35">
        <v>20</v>
      </c>
      <c r="L6" s="35">
        <v>12</v>
      </c>
      <c r="M6" s="35">
        <v>72</v>
      </c>
      <c r="N6" s="9">
        <v>21.577319801589773</v>
      </c>
      <c r="O6" s="60">
        <v>0</v>
      </c>
      <c r="P6" s="60">
        <v>21.577319801589773</v>
      </c>
      <c r="Q6" s="60">
        <v>21.577319801589773</v>
      </c>
      <c r="R6" s="60">
        <v>21.577319801589773</v>
      </c>
      <c r="S6" s="43" t="s">
        <v>99</v>
      </c>
      <c r="T6" s="43">
        <v>9.4639188095386402</v>
      </c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</row>
    <row r="7" spans="1:170" x14ac:dyDescent="0.25">
      <c r="A7" s="61"/>
      <c r="B7" s="35">
        <v>2</v>
      </c>
      <c r="C7" s="8" t="s">
        <v>13</v>
      </c>
      <c r="D7" s="8"/>
      <c r="E7" s="8"/>
      <c r="F7" s="7">
        <v>1018</v>
      </c>
      <c r="G7" s="49">
        <v>69.960748095128181</v>
      </c>
      <c r="H7" s="5" t="s">
        <v>55</v>
      </c>
      <c r="I7" s="10">
        <v>57.773416455014242</v>
      </c>
      <c r="J7" s="49">
        <v>9</v>
      </c>
      <c r="K7" s="35">
        <v>50</v>
      </c>
      <c r="L7" s="35">
        <v>10</v>
      </c>
      <c r="M7" s="35">
        <v>108</v>
      </c>
      <c r="N7" s="9">
        <v>57.773416455014242</v>
      </c>
      <c r="O7" s="53">
        <v>21.577319801589773</v>
      </c>
      <c r="P7" s="53">
        <v>79.350736256604023</v>
      </c>
      <c r="Q7" s="53">
        <v>57.773416455014249</v>
      </c>
      <c r="R7" s="53">
        <v>79.350736256604023</v>
      </c>
      <c r="S7" s="43"/>
      <c r="T7" s="67" t="s">
        <v>99</v>
      </c>
      <c r="U7" s="43" t="s">
        <v>99</v>
      </c>
      <c r="V7" s="43" t="s">
        <v>99</v>
      </c>
      <c r="W7" s="43" t="s">
        <v>99</v>
      </c>
      <c r="X7" s="43">
        <v>66.804121785692047</v>
      </c>
      <c r="Y7" s="43">
        <v>3.1566263094361346</v>
      </c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</row>
    <row r="8" spans="1:170" x14ac:dyDescent="0.25">
      <c r="A8" s="61"/>
      <c r="B8" s="35">
        <v>3</v>
      </c>
      <c r="C8" s="8" t="s">
        <v>30</v>
      </c>
      <c r="D8" s="8"/>
      <c r="E8" s="8"/>
      <c r="F8" s="7">
        <v>1018</v>
      </c>
      <c r="G8" s="49">
        <v>1099.95162</v>
      </c>
      <c r="H8" s="5" t="s">
        <v>55</v>
      </c>
      <c r="I8" s="10">
        <v>62.37864857142857</v>
      </c>
      <c r="J8" s="49">
        <v>21</v>
      </c>
      <c r="K8" s="35">
        <v>10</v>
      </c>
      <c r="L8" s="35">
        <v>2</v>
      </c>
      <c r="M8" s="35">
        <v>252</v>
      </c>
      <c r="N8" s="9">
        <v>62.37864857142857</v>
      </c>
      <c r="O8" s="53">
        <v>79.350736256604023</v>
      </c>
      <c r="P8" s="53">
        <v>141.72938482803261</v>
      </c>
      <c r="Q8" s="53">
        <v>62.378648571428585</v>
      </c>
      <c r="R8" s="53">
        <v>141.72938482803261</v>
      </c>
      <c r="S8" s="43"/>
      <c r="T8" s="43"/>
      <c r="U8" s="43"/>
      <c r="V8" s="43"/>
      <c r="W8" s="43"/>
      <c r="X8" s="43"/>
      <c r="Y8" s="43">
        <v>34.634538611315669</v>
      </c>
      <c r="Z8" s="43">
        <v>252</v>
      </c>
      <c r="AA8" s="43">
        <v>252</v>
      </c>
      <c r="AB8" s="43">
        <v>252</v>
      </c>
      <c r="AC8" s="43">
        <v>252</v>
      </c>
      <c r="AD8" s="43">
        <v>57.317081388684301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</row>
    <row r="9" spans="1:170" x14ac:dyDescent="0.25">
      <c r="A9" s="61"/>
      <c r="B9" s="35">
        <v>4</v>
      </c>
      <c r="C9" s="8" t="s">
        <v>31</v>
      </c>
      <c r="D9" s="8"/>
      <c r="E9" s="8"/>
      <c r="F9" s="7">
        <v>1018</v>
      </c>
      <c r="G9" s="49">
        <v>142.79316000000003</v>
      </c>
      <c r="H9" s="5" t="s">
        <v>55</v>
      </c>
      <c r="I9" s="10">
        <v>26.799674285714289</v>
      </c>
      <c r="J9" s="49">
        <v>21</v>
      </c>
      <c r="K9" s="35">
        <v>20</v>
      </c>
      <c r="L9" s="35">
        <v>2</v>
      </c>
      <c r="M9" s="35">
        <v>252</v>
      </c>
      <c r="N9" s="9">
        <v>26.799674285714289</v>
      </c>
      <c r="O9" s="53">
        <v>141.72938482803261</v>
      </c>
      <c r="P9" s="53">
        <v>168.52905911374688</v>
      </c>
      <c r="Q9" s="53">
        <v>26.799674285714275</v>
      </c>
      <c r="R9" s="53">
        <v>168.52905911374688</v>
      </c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 t="s">
        <v>99</v>
      </c>
      <c r="AE9" s="43">
        <v>5.6829186113156922</v>
      </c>
      <c r="AF9" s="43">
        <v>137.11024138868433</v>
      </c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</row>
    <row r="10" spans="1:170" x14ac:dyDescent="0.25">
      <c r="A10" s="61"/>
      <c r="B10" s="35">
        <v>6</v>
      </c>
      <c r="C10" s="8" t="s">
        <v>34</v>
      </c>
      <c r="D10" s="8"/>
      <c r="E10" s="8"/>
      <c r="F10" s="7">
        <v>1018</v>
      </c>
      <c r="G10" s="49">
        <v>1736.2622799999999</v>
      </c>
      <c r="H10" s="5" t="s">
        <v>55</v>
      </c>
      <c r="I10" s="10">
        <v>97.679156190476192</v>
      </c>
      <c r="J10" s="49">
        <v>21</v>
      </c>
      <c r="K10" s="35">
        <v>15</v>
      </c>
      <c r="L10" s="35">
        <v>2</v>
      </c>
      <c r="M10" s="35">
        <v>252</v>
      </c>
      <c r="N10" s="9">
        <v>97.679156190476192</v>
      </c>
      <c r="O10" s="53">
        <v>168.52905911374688</v>
      </c>
      <c r="P10" s="53">
        <v>266.20821530422307</v>
      </c>
      <c r="Q10" s="53">
        <v>97.679156190476192</v>
      </c>
      <c r="R10" s="53">
        <v>266.20821530422307</v>
      </c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 t="s">
        <v>99</v>
      </c>
      <c r="AG10" s="43">
        <v>30.889758611315695</v>
      </c>
      <c r="AH10" s="43">
        <v>252</v>
      </c>
      <c r="AI10" s="43">
        <v>252</v>
      </c>
      <c r="AJ10" s="43">
        <v>252</v>
      </c>
      <c r="AK10" s="43">
        <v>252</v>
      </c>
      <c r="AL10" s="43">
        <v>252</v>
      </c>
      <c r="AM10" s="43">
        <v>252</v>
      </c>
      <c r="AN10" s="43">
        <v>193.37252138868416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</row>
    <row r="11" spans="1:170" x14ac:dyDescent="0.25">
      <c r="A11" s="61"/>
      <c r="B11" s="35">
        <v>8</v>
      </c>
      <c r="C11" s="8" t="s">
        <v>35</v>
      </c>
      <c r="D11" s="8"/>
      <c r="E11" s="8"/>
      <c r="F11" s="7">
        <v>1018</v>
      </c>
      <c r="G11" s="49">
        <v>392.76242000000002</v>
      </c>
      <c r="H11" s="5" t="s">
        <v>55</v>
      </c>
      <c r="I11" s="10">
        <v>40.702972380952382</v>
      </c>
      <c r="J11" s="49">
        <v>21</v>
      </c>
      <c r="K11" s="35">
        <v>22</v>
      </c>
      <c r="L11" s="35">
        <v>2</v>
      </c>
      <c r="M11" s="35">
        <v>252</v>
      </c>
      <c r="N11" s="9">
        <v>40.702972380952382</v>
      </c>
      <c r="O11" s="53">
        <v>266.20821530422307</v>
      </c>
      <c r="P11" s="53">
        <v>306.91118768517543</v>
      </c>
      <c r="Q11" s="53">
        <v>40.70297238095236</v>
      </c>
      <c r="R11" s="53">
        <v>306.91118768517543</v>
      </c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 t="s">
        <v>99</v>
      </c>
      <c r="AO11" s="43" t="s">
        <v>99</v>
      </c>
      <c r="AP11" s="43">
        <v>100.62747861131589</v>
      </c>
      <c r="AQ11" s="43">
        <v>252</v>
      </c>
      <c r="AR11" s="43">
        <v>40.134941388684126</v>
      </c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</row>
    <row r="12" spans="1:170" x14ac:dyDescent="0.25">
      <c r="A12" s="61"/>
      <c r="B12" s="35">
        <v>10</v>
      </c>
      <c r="C12" s="8" t="s">
        <v>15</v>
      </c>
      <c r="D12" s="8"/>
      <c r="E12" s="8"/>
      <c r="F12" s="7">
        <v>1018</v>
      </c>
      <c r="G12" s="49">
        <v>215.43992431409646</v>
      </c>
      <c r="H12" s="5" t="s">
        <v>55</v>
      </c>
      <c r="I12" s="10">
        <v>22.953327026174705</v>
      </c>
      <c r="J12" s="49">
        <v>12</v>
      </c>
      <c r="K12" s="35">
        <v>5</v>
      </c>
      <c r="L12" s="35">
        <v>4</v>
      </c>
      <c r="M12" s="35">
        <v>144</v>
      </c>
      <c r="N12" s="9">
        <v>22.953327026174705</v>
      </c>
      <c r="O12" s="53">
        <v>306.91118768517543</v>
      </c>
      <c r="P12" s="53">
        <v>329.86451471135013</v>
      </c>
      <c r="Q12" s="53">
        <v>22.953327026174691</v>
      </c>
      <c r="R12" s="53">
        <v>329.86451471135013</v>
      </c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>
        <v>49.065747777894785</v>
      </c>
      <c r="AS12" s="43">
        <v>144</v>
      </c>
      <c r="AT12" s="43">
        <v>22.374176536201674</v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</row>
    <row r="13" spans="1:170" x14ac:dyDescent="0.25">
      <c r="A13" s="61"/>
      <c r="B13" s="35">
        <v>19</v>
      </c>
      <c r="C13" s="8" t="s">
        <v>58</v>
      </c>
      <c r="D13" s="8"/>
      <c r="E13" s="8"/>
      <c r="F13" s="7">
        <v>1018</v>
      </c>
      <c r="G13" s="49">
        <v>808.7801147227533</v>
      </c>
      <c r="H13" s="5" t="s">
        <v>55</v>
      </c>
      <c r="I13" s="10">
        <v>41.513338796321584</v>
      </c>
      <c r="J13" s="49">
        <v>21</v>
      </c>
      <c r="K13" s="35">
        <v>3</v>
      </c>
      <c r="L13" s="35">
        <v>2.5</v>
      </c>
      <c r="M13" s="35">
        <v>252</v>
      </c>
      <c r="N13" s="9">
        <v>41.513338796321584</v>
      </c>
      <c r="O13" s="53">
        <v>329.86451471135013</v>
      </c>
      <c r="P13" s="53">
        <v>371.37785350767172</v>
      </c>
      <c r="Q13" s="53">
        <v>41.513338796321591</v>
      </c>
      <c r="R13" s="53">
        <v>371.37785350767172</v>
      </c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>
        <v>128.84519106164709</v>
      </c>
      <c r="AU13" s="43">
        <v>252</v>
      </c>
      <c r="AV13" s="43">
        <v>252</v>
      </c>
      <c r="AW13" s="43">
        <v>175.93492366110627</v>
      </c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</row>
    <row r="14" spans="1:170" x14ac:dyDescent="0.25">
      <c r="A14" s="61"/>
      <c r="B14" s="35">
        <v>20</v>
      </c>
      <c r="C14" s="8" t="s">
        <v>21</v>
      </c>
      <c r="D14" s="8"/>
      <c r="E14" s="8"/>
      <c r="F14" s="7">
        <v>1018</v>
      </c>
      <c r="G14" s="49">
        <v>504</v>
      </c>
      <c r="H14" s="5" t="s">
        <v>55</v>
      </c>
      <c r="I14" s="10">
        <v>25</v>
      </c>
      <c r="J14" s="49">
        <v>21</v>
      </c>
      <c r="K14" s="35">
        <v>1</v>
      </c>
      <c r="L14" s="35">
        <v>3</v>
      </c>
      <c r="M14" s="35">
        <v>252</v>
      </c>
      <c r="N14" s="9">
        <v>25</v>
      </c>
      <c r="O14" s="53">
        <v>371.37785350767172</v>
      </c>
      <c r="P14" s="53">
        <v>396.37785350767172</v>
      </c>
      <c r="Q14" s="53">
        <v>25</v>
      </c>
      <c r="R14" s="53">
        <v>396.37785350767172</v>
      </c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>
        <v>55.065076338893732</v>
      </c>
      <c r="AX14" s="43">
        <v>252</v>
      </c>
      <c r="AY14" s="43">
        <v>196.93492366110627</v>
      </c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</row>
    <row r="15" spans="1:170" x14ac:dyDescent="0.25">
      <c r="A15" s="61"/>
      <c r="B15" s="35">
        <v>21</v>
      </c>
      <c r="C15" s="8" t="s">
        <v>18</v>
      </c>
      <c r="D15" s="8"/>
      <c r="E15" s="8"/>
      <c r="F15" s="7">
        <v>1018</v>
      </c>
      <c r="G15" s="49">
        <v>2500</v>
      </c>
      <c r="H15" s="5" t="s">
        <v>55</v>
      </c>
      <c r="I15" s="10">
        <v>106.16666666666667</v>
      </c>
      <c r="J15" s="49">
        <v>24</v>
      </c>
      <c r="K15" s="35">
        <v>2</v>
      </c>
      <c r="L15" s="35">
        <v>3</v>
      </c>
      <c r="M15" s="35">
        <v>288</v>
      </c>
      <c r="N15" s="9">
        <v>106.16666666666667</v>
      </c>
      <c r="O15" s="53">
        <v>396.37785350767172</v>
      </c>
      <c r="P15" s="53">
        <v>502.5445201743384</v>
      </c>
      <c r="Q15" s="53">
        <v>106.16666666666669</v>
      </c>
      <c r="R15" s="53">
        <v>502.5445201743384</v>
      </c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>
        <v>14.931515815878555</v>
      </c>
      <c r="AZ15" s="43">
        <v>288</v>
      </c>
      <c r="BA15" s="43">
        <v>288</v>
      </c>
      <c r="BB15" s="43">
        <v>288</v>
      </c>
      <c r="BC15" s="43">
        <v>288</v>
      </c>
      <c r="BD15" s="43">
        <v>288</v>
      </c>
      <c r="BE15" s="43">
        <v>288</v>
      </c>
      <c r="BF15" s="43">
        <v>288</v>
      </c>
      <c r="BG15" s="43">
        <v>288</v>
      </c>
      <c r="BH15" s="43">
        <v>181.06848418412164</v>
      </c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ET15" s="28">
        <v>259.56324831133998</v>
      </c>
    </row>
    <row r="16" spans="1:170" x14ac:dyDescent="0.25">
      <c r="A16" s="61"/>
      <c r="B16" s="35">
        <v>22</v>
      </c>
      <c r="C16" s="8" t="s">
        <v>22</v>
      </c>
      <c r="D16" s="8"/>
      <c r="E16" s="8"/>
      <c r="F16" s="7">
        <v>1018</v>
      </c>
      <c r="G16" s="49">
        <v>384.75986622073589</v>
      </c>
      <c r="H16" s="5" t="s">
        <v>55</v>
      </c>
      <c r="I16" s="10">
        <v>24.375548123374216</v>
      </c>
      <c r="J16" s="49">
        <v>18</v>
      </c>
      <c r="K16" s="35">
        <v>3</v>
      </c>
      <c r="L16" s="35">
        <v>3.5</v>
      </c>
      <c r="M16" s="35">
        <v>216</v>
      </c>
      <c r="N16" s="9">
        <v>24.375548123374216</v>
      </c>
      <c r="O16" s="53">
        <v>502.5445201743384</v>
      </c>
      <c r="P16" s="53">
        <v>526.92006829771265</v>
      </c>
      <c r="Q16" s="53">
        <v>24.375548123374244</v>
      </c>
      <c r="R16" s="53">
        <v>526.92006829771265</v>
      </c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>
        <v>8.1986368619087671</v>
      </c>
      <c r="BI16" s="43">
        <v>216</v>
      </c>
      <c r="BJ16" s="43">
        <v>160.56122935882712</v>
      </c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ET16" s="28" t="s">
        <v>99</v>
      </c>
      <c r="EU16" s="28" t="s">
        <v>99</v>
      </c>
      <c r="EV16" s="28" t="s">
        <v>99</v>
      </c>
      <c r="EW16" s="28" t="s">
        <v>99</v>
      </c>
      <c r="EX16" s="28" t="s">
        <v>99</v>
      </c>
      <c r="EY16" s="28" t="s">
        <v>99</v>
      </c>
      <c r="EZ16" s="28" t="s">
        <v>99</v>
      </c>
      <c r="FA16" s="28" t="s">
        <v>99</v>
      </c>
      <c r="FB16" s="28" t="s">
        <v>99</v>
      </c>
      <c r="FC16" s="28" t="s">
        <v>99</v>
      </c>
      <c r="FD16" s="28" t="s">
        <v>99</v>
      </c>
      <c r="FE16" s="28" t="s">
        <v>99</v>
      </c>
      <c r="FF16" s="28" t="s">
        <v>99</v>
      </c>
      <c r="FG16" s="28" t="s">
        <v>99</v>
      </c>
      <c r="FH16" s="28" t="s">
        <v>99</v>
      </c>
      <c r="FI16" s="28" t="s">
        <v>99</v>
      </c>
      <c r="FJ16" s="28" t="s">
        <v>99</v>
      </c>
      <c r="FK16" s="28" t="s">
        <v>99</v>
      </c>
      <c r="FL16" s="28">
        <v>165.32756376649519</v>
      </c>
      <c r="FM16" s="28">
        <v>216</v>
      </c>
      <c r="FN16" s="28">
        <v>3.4323024542406984</v>
      </c>
    </row>
    <row r="17" spans="1:160" x14ac:dyDescent="0.25">
      <c r="A17" s="61"/>
      <c r="B17" s="35">
        <v>1</v>
      </c>
      <c r="C17" s="8" t="s">
        <v>28</v>
      </c>
      <c r="D17" s="8"/>
      <c r="E17" s="8"/>
      <c r="F17" s="7">
        <v>7038</v>
      </c>
      <c r="G17" s="49">
        <v>500</v>
      </c>
      <c r="H17" s="5" t="s">
        <v>56</v>
      </c>
      <c r="I17" s="10">
        <v>25.80952380952381</v>
      </c>
      <c r="J17" s="49">
        <v>21</v>
      </c>
      <c r="K17" s="35">
        <v>2</v>
      </c>
      <c r="L17" s="35">
        <v>2</v>
      </c>
      <c r="M17" s="35">
        <v>252</v>
      </c>
      <c r="N17" s="9">
        <v>25.80952380952381</v>
      </c>
      <c r="O17" s="60">
        <v>0</v>
      </c>
      <c r="P17" s="60">
        <v>25.80952380952381</v>
      </c>
      <c r="Q17" s="60">
        <v>25.80952380952381</v>
      </c>
      <c r="R17" s="60">
        <v>25.80952380952381</v>
      </c>
      <c r="S17" s="43">
        <v>210</v>
      </c>
      <c r="T17" s="43">
        <v>252</v>
      </c>
      <c r="U17" s="43">
        <v>38</v>
      </c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</row>
    <row r="18" spans="1:160" x14ac:dyDescent="0.25">
      <c r="A18" s="61"/>
      <c r="B18" s="35">
        <v>2</v>
      </c>
      <c r="C18" s="8" t="s">
        <v>28</v>
      </c>
      <c r="D18" s="8"/>
      <c r="E18" s="8"/>
      <c r="F18" s="7">
        <v>1018</v>
      </c>
      <c r="G18" s="49">
        <v>500</v>
      </c>
      <c r="H18" s="5" t="s">
        <v>56</v>
      </c>
      <c r="I18" s="10">
        <v>26.80952380952381</v>
      </c>
      <c r="J18" s="49">
        <v>21</v>
      </c>
      <c r="K18" s="35">
        <v>3</v>
      </c>
      <c r="L18" s="35">
        <v>2</v>
      </c>
      <c r="M18" s="35">
        <v>252</v>
      </c>
      <c r="N18" s="9">
        <v>26.80952380952381</v>
      </c>
      <c r="O18" s="53">
        <v>25.80952380952381</v>
      </c>
      <c r="P18" s="53">
        <v>52.61904761904762</v>
      </c>
      <c r="Q18" s="53">
        <v>26.80952380952381</v>
      </c>
      <c r="R18" s="53">
        <v>52.61904761904762</v>
      </c>
      <c r="S18" s="43"/>
      <c r="T18" s="43"/>
      <c r="U18" s="43">
        <v>130</v>
      </c>
      <c r="V18" s="43">
        <v>252</v>
      </c>
      <c r="W18" s="43">
        <v>118</v>
      </c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</row>
    <row r="19" spans="1:160" x14ac:dyDescent="0.25">
      <c r="A19" s="61"/>
      <c r="B19" s="35">
        <v>3</v>
      </c>
      <c r="C19" s="8" t="s">
        <v>6</v>
      </c>
      <c r="D19" s="8"/>
      <c r="E19" s="8"/>
      <c r="F19" s="7">
        <v>1018</v>
      </c>
      <c r="G19" s="49">
        <v>2723.4508900000005</v>
      </c>
      <c r="H19" s="5" t="s">
        <v>56</v>
      </c>
      <c r="I19" s="10">
        <v>133.08813761904764</v>
      </c>
      <c r="J19" s="49">
        <v>21</v>
      </c>
      <c r="K19" s="35">
        <v>3.4</v>
      </c>
      <c r="L19" s="35">
        <v>3</v>
      </c>
      <c r="M19" s="35">
        <v>252</v>
      </c>
      <c r="N19" s="9">
        <v>133.08813761904764</v>
      </c>
      <c r="O19" s="53">
        <v>52.61904761904762</v>
      </c>
      <c r="P19" s="53">
        <v>185.70718523809526</v>
      </c>
      <c r="Q19" s="53">
        <v>133.08813761904764</v>
      </c>
      <c r="R19" s="53">
        <v>185.70718523809526</v>
      </c>
      <c r="S19" s="43"/>
      <c r="T19" s="43"/>
      <c r="U19" s="43"/>
      <c r="V19" s="43"/>
      <c r="W19" s="43">
        <v>62.6</v>
      </c>
      <c r="X19" s="43">
        <v>252</v>
      </c>
      <c r="Y19" s="43">
        <v>252</v>
      </c>
      <c r="Z19" s="43">
        <v>252</v>
      </c>
      <c r="AA19" s="43">
        <v>252</v>
      </c>
      <c r="AB19" s="43">
        <v>252</v>
      </c>
      <c r="AC19" s="43">
        <v>252</v>
      </c>
      <c r="AD19" s="43">
        <v>252</v>
      </c>
      <c r="AE19" s="43">
        <v>252</v>
      </c>
      <c r="AF19" s="43">
        <v>252</v>
      </c>
      <c r="AG19" s="43">
        <v>252</v>
      </c>
      <c r="AH19" s="43">
        <v>140.85089000000062</v>
      </c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</row>
    <row r="20" spans="1:160" x14ac:dyDescent="0.25">
      <c r="A20" s="61"/>
      <c r="B20" s="35">
        <v>4</v>
      </c>
      <c r="C20" s="8" t="s">
        <v>5</v>
      </c>
      <c r="D20" s="8"/>
      <c r="E20" s="8"/>
      <c r="F20" s="7">
        <v>1018</v>
      </c>
      <c r="G20" s="49">
        <v>2874.7452471482893</v>
      </c>
      <c r="H20" s="5" t="s">
        <v>56</v>
      </c>
      <c r="I20" s="10">
        <v>140.69263081658522</v>
      </c>
      <c r="J20" s="49">
        <v>21</v>
      </c>
      <c r="K20" s="35">
        <v>3.8</v>
      </c>
      <c r="L20" s="35">
        <v>2</v>
      </c>
      <c r="M20" s="35">
        <v>252</v>
      </c>
      <c r="N20" s="9">
        <v>140.69263081658522</v>
      </c>
      <c r="O20" s="53">
        <v>185.70718523809526</v>
      </c>
      <c r="P20" s="53">
        <v>326.39981605468051</v>
      </c>
      <c r="Q20" s="53">
        <v>140.69263081658525</v>
      </c>
      <c r="R20" s="53">
        <v>326.39981605468051</v>
      </c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>
        <v>10.349109999999378</v>
      </c>
      <c r="AI20" s="43">
        <v>252</v>
      </c>
      <c r="AJ20" s="43">
        <v>252</v>
      </c>
      <c r="AK20" s="43">
        <v>252</v>
      </c>
      <c r="AL20" s="43">
        <v>252</v>
      </c>
      <c r="AM20" s="43">
        <v>252</v>
      </c>
      <c r="AN20" s="43">
        <v>252</v>
      </c>
      <c r="AO20" s="43">
        <v>252</v>
      </c>
      <c r="AP20" s="43">
        <v>252</v>
      </c>
      <c r="AQ20" s="43">
        <v>252</v>
      </c>
      <c r="AR20" s="43">
        <v>252</v>
      </c>
      <c r="AS20" s="43">
        <v>252</v>
      </c>
      <c r="AT20" s="43">
        <v>92.396137148290109</v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</row>
    <row r="21" spans="1:160" x14ac:dyDescent="0.25">
      <c r="A21" s="61"/>
      <c r="B21" s="35">
        <v>12</v>
      </c>
      <c r="C21" s="8" t="s">
        <v>12</v>
      </c>
      <c r="D21" s="8"/>
      <c r="E21" s="8"/>
      <c r="F21" s="7">
        <v>1018</v>
      </c>
      <c r="G21" s="49">
        <v>513.58675571976687</v>
      </c>
      <c r="H21" s="5" t="s">
        <v>56</v>
      </c>
      <c r="I21" s="10">
        <v>61.265195079974099</v>
      </c>
      <c r="J21" s="49">
        <v>9</v>
      </c>
      <c r="K21" s="35">
        <v>4.2</v>
      </c>
      <c r="L21" s="35">
        <v>4</v>
      </c>
      <c r="M21" s="35">
        <v>108</v>
      </c>
      <c r="N21" s="9">
        <v>61.265195079974099</v>
      </c>
      <c r="O21" s="53">
        <v>326.39981605468051</v>
      </c>
      <c r="P21" s="53">
        <v>387.66501113465461</v>
      </c>
      <c r="Q21" s="53">
        <v>61.265195079974092</v>
      </c>
      <c r="R21" s="53">
        <v>387.66501113465461</v>
      </c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>
        <v>21.60165550787567</v>
      </c>
      <c r="AU21" s="43">
        <v>108</v>
      </c>
      <c r="AV21" s="43">
        <v>108</v>
      </c>
      <c r="AW21" s="43">
        <v>108</v>
      </c>
      <c r="AX21" s="43">
        <v>108</v>
      </c>
      <c r="AY21" s="43">
        <v>59.985100211891222</v>
      </c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</row>
    <row r="22" spans="1:160" x14ac:dyDescent="0.25">
      <c r="A22" s="61"/>
      <c r="B22" s="35">
        <v>13</v>
      </c>
      <c r="C22" s="8" t="s">
        <v>10</v>
      </c>
      <c r="D22" s="8"/>
      <c r="E22" s="8"/>
      <c r="F22" s="7">
        <v>1018</v>
      </c>
      <c r="G22" s="49">
        <v>53.511705685618722</v>
      </c>
      <c r="H22" s="5" t="s">
        <v>56</v>
      </c>
      <c r="I22" s="10">
        <v>7.5728725380899284</v>
      </c>
      <c r="J22" s="49">
        <v>18</v>
      </c>
      <c r="K22" s="35">
        <v>4.5999999999999996</v>
      </c>
      <c r="L22" s="35">
        <v>3</v>
      </c>
      <c r="M22" s="35">
        <v>216</v>
      </c>
      <c r="N22" s="9">
        <v>7.5728725380899284</v>
      </c>
      <c r="O22" s="53">
        <v>387.66501113465461</v>
      </c>
      <c r="P22" s="53">
        <v>395.23788367274454</v>
      </c>
      <c r="Q22" s="53">
        <v>7.5728725380899391</v>
      </c>
      <c r="R22" s="53">
        <v>395.23788367274454</v>
      </c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>
        <v>13.229799576217587</v>
      </c>
      <c r="AZ22" s="43">
        <v>40.281906109401135</v>
      </c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</row>
    <row r="23" spans="1:160" x14ac:dyDescent="0.25">
      <c r="A23" s="61"/>
      <c r="B23" s="35">
        <v>15</v>
      </c>
      <c r="C23" s="8" t="s">
        <v>59</v>
      </c>
      <c r="D23" s="8"/>
      <c r="E23" s="8"/>
      <c r="F23" s="7">
        <v>1018</v>
      </c>
      <c r="G23" s="49">
        <v>112.77552000000003</v>
      </c>
      <c r="H23" s="5" t="s">
        <v>56</v>
      </c>
      <c r="I23" s="10">
        <v>10.370262857142858</v>
      </c>
      <c r="J23" s="49">
        <v>21</v>
      </c>
      <c r="K23" s="35">
        <v>5</v>
      </c>
      <c r="L23" s="35">
        <v>3</v>
      </c>
      <c r="M23" s="35">
        <v>252</v>
      </c>
      <c r="N23" s="9">
        <v>10.370262857142858</v>
      </c>
      <c r="O23" s="53">
        <v>395.23788367274454</v>
      </c>
      <c r="P23" s="53">
        <v>405.60814652988739</v>
      </c>
      <c r="Q23" s="53">
        <v>10.370262857142848</v>
      </c>
      <c r="R23" s="53">
        <v>405.60814652988739</v>
      </c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>
        <v>100.00444287236535</v>
      </c>
      <c r="BA23" s="43">
        <v>12.771077127634683</v>
      </c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</row>
    <row r="24" spans="1:160" x14ac:dyDescent="0.25">
      <c r="A24" s="61"/>
      <c r="B24" s="35">
        <v>17</v>
      </c>
      <c r="C24" s="8" t="s">
        <v>19</v>
      </c>
      <c r="D24" s="8"/>
      <c r="E24" s="8"/>
      <c r="F24" s="7">
        <v>1018</v>
      </c>
      <c r="G24" s="49">
        <v>2502</v>
      </c>
      <c r="H24" s="5" t="s">
        <v>56</v>
      </c>
      <c r="I24" s="10">
        <v>124.54285714285714</v>
      </c>
      <c r="J24" s="49">
        <v>21</v>
      </c>
      <c r="K24" s="35">
        <v>5.4</v>
      </c>
      <c r="L24" s="35">
        <v>3</v>
      </c>
      <c r="M24" s="35">
        <v>252</v>
      </c>
      <c r="N24" s="9">
        <v>124.54285714285714</v>
      </c>
      <c r="O24" s="53">
        <v>405.60814652988739</v>
      </c>
      <c r="P24" s="53">
        <v>530.15100367274454</v>
      </c>
      <c r="Q24" s="53">
        <v>124.54285714285714</v>
      </c>
      <c r="R24" s="53">
        <v>530.15100367274454</v>
      </c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>
        <v>125.82892287236531</v>
      </c>
      <c r="BB24" s="43">
        <v>252</v>
      </c>
      <c r="BC24" s="43">
        <v>252</v>
      </c>
      <c r="BD24" s="43">
        <v>252</v>
      </c>
      <c r="BE24" s="43">
        <v>252</v>
      </c>
      <c r="BF24" s="43">
        <v>252</v>
      </c>
      <c r="BG24" s="43">
        <v>252</v>
      </c>
      <c r="BH24" s="43">
        <v>252</v>
      </c>
      <c r="BI24" s="43">
        <v>252</v>
      </c>
      <c r="BJ24" s="43">
        <v>252</v>
      </c>
      <c r="BK24" s="43">
        <v>108.17107712763482</v>
      </c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</row>
    <row r="25" spans="1:160" x14ac:dyDescent="0.25">
      <c r="A25" s="61"/>
      <c r="B25" s="35">
        <v>18</v>
      </c>
      <c r="C25" s="8" t="s">
        <v>17</v>
      </c>
      <c r="D25" s="8"/>
      <c r="E25" s="8"/>
      <c r="F25" s="7">
        <v>1018</v>
      </c>
      <c r="G25" s="49">
        <v>1000</v>
      </c>
      <c r="H25" s="5" t="s">
        <v>56</v>
      </c>
      <c r="I25" s="10">
        <v>47.466666666666661</v>
      </c>
      <c r="J25" s="49">
        <v>24</v>
      </c>
      <c r="K25" s="35">
        <v>5.8</v>
      </c>
      <c r="L25" s="35">
        <v>1.5</v>
      </c>
      <c r="M25" s="35">
        <v>288</v>
      </c>
      <c r="N25" s="9">
        <v>47.466666666666661</v>
      </c>
      <c r="O25" s="53">
        <v>530.15100367274454</v>
      </c>
      <c r="P25" s="53">
        <v>577.61767033941123</v>
      </c>
      <c r="Q25" s="53">
        <v>47.466666666666697</v>
      </c>
      <c r="R25" s="53">
        <v>577.61767033941123</v>
      </c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>
        <v>1.1759118541316127</v>
      </c>
      <c r="BL25" s="43">
        <v>288</v>
      </c>
      <c r="BM25" s="43">
        <v>288</v>
      </c>
      <c r="BN25" s="43">
        <v>288</v>
      </c>
      <c r="BO25" s="43">
        <v>134.82408814586836</v>
      </c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ET25" s="28" t="s">
        <v>99</v>
      </c>
      <c r="EU25" s="28" t="s">
        <v>99</v>
      </c>
      <c r="EV25" s="28" t="s">
        <v>99</v>
      </c>
      <c r="EW25" s="28" t="s">
        <v>99</v>
      </c>
      <c r="EX25" s="28" t="s">
        <v>99</v>
      </c>
      <c r="EY25" s="28" t="s">
        <v>99</v>
      </c>
      <c r="EZ25" s="28">
        <v>72.336179085842332</v>
      </c>
      <c r="FA25" s="28">
        <v>288</v>
      </c>
      <c r="FB25" s="28">
        <v>288</v>
      </c>
      <c r="FC25" s="28">
        <v>288</v>
      </c>
      <c r="FD25" s="28">
        <v>63.663820914157668</v>
      </c>
    </row>
    <row r="26" spans="1:160" x14ac:dyDescent="0.25">
      <c r="A26" s="61"/>
      <c r="B26" s="35">
        <v>1</v>
      </c>
      <c r="C26" s="8" t="s">
        <v>37</v>
      </c>
      <c r="D26" s="8"/>
      <c r="E26" s="8"/>
      <c r="F26" s="7">
        <v>1018</v>
      </c>
      <c r="G26" s="49">
        <v>1000</v>
      </c>
      <c r="H26" s="5" t="s">
        <v>66</v>
      </c>
      <c r="I26" s="10">
        <v>53.819047619047623</v>
      </c>
      <c r="J26" s="49">
        <v>21</v>
      </c>
      <c r="K26" s="35">
        <v>6.2</v>
      </c>
      <c r="L26" s="35">
        <v>2</v>
      </c>
      <c r="M26" s="35">
        <v>252</v>
      </c>
      <c r="N26" s="9">
        <v>53.819047619047623</v>
      </c>
      <c r="O26" s="60">
        <v>0</v>
      </c>
      <c r="P26" s="60">
        <v>53.819047619047623</v>
      </c>
      <c r="Q26" s="60">
        <v>53.819047619047623</v>
      </c>
      <c r="R26" s="60">
        <v>53.819047619047623</v>
      </c>
      <c r="S26" s="43">
        <v>121.80000000000001</v>
      </c>
      <c r="T26" s="43">
        <v>252</v>
      </c>
      <c r="U26" s="43">
        <v>252</v>
      </c>
      <c r="V26" s="43">
        <v>252</v>
      </c>
      <c r="W26" s="43">
        <v>122.20000000000005</v>
      </c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</row>
    <row r="27" spans="1:160" x14ac:dyDescent="0.25">
      <c r="A27" s="61"/>
      <c r="B27" s="35">
        <v>2</v>
      </c>
      <c r="C27" s="8" t="s">
        <v>27</v>
      </c>
      <c r="D27" s="8"/>
      <c r="E27" s="8"/>
      <c r="F27" s="7">
        <v>1018</v>
      </c>
      <c r="G27" s="49">
        <v>4449.7593600000009</v>
      </c>
      <c r="H27" s="5" t="s">
        <v>66</v>
      </c>
      <c r="I27" s="10">
        <v>218.49330285714291</v>
      </c>
      <c r="J27" s="49">
        <v>21</v>
      </c>
      <c r="K27" s="35">
        <v>6.6</v>
      </c>
      <c r="L27" s="35">
        <v>2</v>
      </c>
      <c r="M27" s="35">
        <v>252</v>
      </c>
      <c r="N27" s="9">
        <v>218.49330285714291</v>
      </c>
      <c r="O27" s="53">
        <v>53.819047619047623</v>
      </c>
      <c r="P27" s="53">
        <v>272.31235047619055</v>
      </c>
      <c r="Q27" s="53">
        <v>218.49330285714291</v>
      </c>
      <c r="R27" s="53">
        <v>272.31235047619055</v>
      </c>
      <c r="S27" s="43"/>
      <c r="T27" s="43"/>
      <c r="U27" s="43"/>
      <c r="V27" s="43"/>
      <c r="W27" s="43" t="s">
        <v>99</v>
      </c>
      <c r="X27" s="43">
        <v>243.19999999999996</v>
      </c>
      <c r="Y27" s="43">
        <v>252</v>
      </c>
      <c r="Z27" s="43">
        <v>252</v>
      </c>
      <c r="AA27" s="43">
        <v>252</v>
      </c>
      <c r="AB27" s="43">
        <v>252</v>
      </c>
      <c r="AC27" s="43">
        <v>252</v>
      </c>
      <c r="AD27" s="43">
        <v>252</v>
      </c>
      <c r="AE27" s="43">
        <v>252</v>
      </c>
      <c r="AF27" s="43">
        <v>252</v>
      </c>
      <c r="AG27" s="43">
        <v>252</v>
      </c>
      <c r="AH27" s="43">
        <v>252</v>
      </c>
      <c r="AI27" s="43">
        <v>252</v>
      </c>
      <c r="AJ27" s="43">
        <v>252</v>
      </c>
      <c r="AK27" s="43">
        <v>252</v>
      </c>
      <c r="AL27" s="43">
        <v>252</v>
      </c>
      <c r="AM27" s="43">
        <v>252</v>
      </c>
      <c r="AN27" s="43">
        <v>252</v>
      </c>
      <c r="AO27" s="43">
        <v>174.55936000000111</v>
      </c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</row>
    <row r="28" spans="1:160" x14ac:dyDescent="0.25">
      <c r="A28" s="61"/>
      <c r="B28" s="35">
        <v>3</v>
      </c>
      <c r="C28" s="8" t="s">
        <v>29</v>
      </c>
      <c r="D28" s="8"/>
      <c r="E28" s="8"/>
      <c r="F28" s="7">
        <v>1018</v>
      </c>
      <c r="G28" s="49">
        <v>60.000000000000014</v>
      </c>
      <c r="H28" s="5" t="s">
        <v>66</v>
      </c>
      <c r="I28" s="10">
        <v>9.8571428571428577</v>
      </c>
      <c r="J28" s="49">
        <v>21</v>
      </c>
      <c r="K28" s="35">
        <v>7</v>
      </c>
      <c r="L28" s="35">
        <v>2</v>
      </c>
      <c r="M28" s="35">
        <v>252</v>
      </c>
      <c r="N28" s="9">
        <v>9.8571428571428577</v>
      </c>
      <c r="O28" s="53">
        <v>272.31235047619055</v>
      </c>
      <c r="P28" s="53">
        <v>282.16949333333338</v>
      </c>
      <c r="Q28" s="53">
        <v>9.8571428571428328</v>
      </c>
      <c r="R28" s="53">
        <v>282.16949333333338</v>
      </c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 t="s">
        <v>99</v>
      </c>
      <c r="AP28" s="43">
        <v>60.000000000000014</v>
      </c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</row>
    <row r="29" spans="1:160" x14ac:dyDescent="0.25">
      <c r="A29" s="61"/>
      <c r="B29" s="35">
        <v>4</v>
      </c>
      <c r="C29" s="8" t="s">
        <v>23</v>
      </c>
      <c r="D29" s="8"/>
      <c r="E29" s="8"/>
      <c r="F29" s="7">
        <v>1018</v>
      </c>
      <c r="G29" s="49">
        <v>1288.5999999999999</v>
      </c>
      <c r="H29" s="5" t="s">
        <v>66</v>
      </c>
      <c r="I29" s="10">
        <v>78.988888888888894</v>
      </c>
      <c r="J29" s="49">
        <v>18</v>
      </c>
      <c r="K29" s="35">
        <v>7.4</v>
      </c>
      <c r="L29" s="35">
        <v>3</v>
      </c>
      <c r="M29" s="35">
        <v>216</v>
      </c>
      <c r="N29" s="9">
        <v>78.988888888888894</v>
      </c>
      <c r="O29" s="53">
        <v>282.16949333333338</v>
      </c>
      <c r="P29" s="53">
        <v>361.15838222222226</v>
      </c>
      <c r="Q29" s="53">
        <v>78.98888888888888</v>
      </c>
      <c r="R29" s="53">
        <v>361.15838222222226</v>
      </c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>
        <v>31.371428571428524</v>
      </c>
      <c r="AQ29" s="43">
        <v>216</v>
      </c>
      <c r="AR29" s="43">
        <v>216</v>
      </c>
      <c r="AS29" s="43">
        <v>216</v>
      </c>
      <c r="AT29" s="43">
        <v>216</v>
      </c>
      <c r="AU29" s="43">
        <v>216</v>
      </c>
      <c r="AV29" s="43">
        <v>177.22857142857129</v>
      </c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</row>
    <row r="30" spans="1:160" x14ac:dyDescent="0.25">
      <c r="A30" s="61"/>
      <c r="B30" s="35">
        <v>5</v>
      </c>
      <c r="C30" s="8" t="s">
        <v>57</v>
      </c>
      <c r="D30" s="8"/>
      <c r="E30" s="8"/>
      <c r="F30" s="7">
        <v>1018</v>
      </c>
      <c r="G30" s="49">
        <v>504</v>
      </c>
      <c r="H30" s="5" t="s">
        <v>66</v>
      </c>
      <c r="I30" s="10">
        <v>28.8</v>
      </c>
      <c r="J30" s="49">
        <v>24</v>
      </c>
      <c r="K30" s="35">
        <v>7.8</v>
      </c>
      <c r="L30" s="35">
        <v>1.5</v>
      </c>
      <c r="M30" s="35">
        <v>288</v>
      </c>
      <c r="N30" s="9">
        <v>28.8</v>
      </c>
      <c r="O30" s="53">
        <v>361.15838222222226</v>
      </c>
      <c r="P30" s="53">
        <v>389.95838222222227</v>
      </c>
      <c r="Q30" s="53">
        <v>28.800000000000011</v>
      </c>
      <c r="R30" s="53">
        <v>389.95838222222227</v>
      </c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 t="s">
        <v>99</v>
      </c>
      <c r="AW30" s="43">
        <v>128.49523809523828</v>
      </c>
      <c r="AX30" s="43">
        <v>288</v>
      </c>
      <c r="AY30" s="43">
        <v>87.504761904761722</v>
      </c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</row>
    <row r="31" spans="1:160" x14ac:dyDescent="0.25">
      <c r="A31" s="61"/>
      <c r="B31" s="35">
        <v>6</v>
      </c>
      <c r="C31" s="8" t="s">
        <v>24</v>
      </c>
      <c r="D31" s="8"/>
      <c r="E31" s="8"/>
      <c r="F31" s="7">
        <v>1018</v>
      </c>
      <c r="G31" s="49">
        <v>1854.3576167076169</v>
      </c>
      <c r="H31" s="5" t="s">
        <v>66</v>
      </c>
      <c r="I31" s="10">
        <v>111.21986759486761</v>
      </c>
      <c r="J31" s="49">
        <v>18</v>
      </c>
      <c r="K31" s="35">
        <v>8.1999999999999993</v>
      </c>
      <c r="L31" s="35">
        <v>3</v>
      </c>
      <c r="M31" s="35">
        <v>216</v>
      </c>
      <c r="N31" s="9">
        <v>111.21986759486761</v>
      </c>
      <c r="O31" s="53">
        <v>389.95838222222227</v>
      </c>
      <c r="P31" s="53">
        <v>501.17824981708986</v>
      </c>
      <c r="Q31" s="53">
        <v>111.21986759486759</v>
      </c>
      <c r="R31" s="53">
        <v>501.17824981708986</v>
      </c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 t="s">
        <v>99</v>
      </c>
      <c r="AZ31" s="43">
        <v>200.77142857142871</v>
      </c>
      <c r="BA31" s="43">
        <v>216</v>
      </c>
      <c r="BB31" s="43">
        <v>216</v>
      </c>
      <c r="BC31" s="43">
        <v>216</v>
      </c>
      <c r="BD31" s="43">
        <v>216</v>
      </c>
      <c r="BE31" s="43">
        <v>216</v>
      </c>
      <c r="BF31" s="43">
        <v>216</v>
      </c>
      <c r="BG31" s="43">
        <v>216</v>
      </c>
      <c r="BH31" s="43">
        <v>141.58618813618818</v>
      </c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</row>
    <row r="32" spans="1:160" x14ac:dyDescent="0.25">
      <c r="A32" s="61"/>
      <c r="B32" s="35">
        <v>7</v>
      </c>
      <c r="C32" s="8" t="s">
        <v>16</v>
      </c>
      <c r="D32" s="8"/>
      <c r="E32" s="8"/>
      <c r="F32" s="7">
        <v>1018</v>
      </c>
      <c r="G32" s="49">
        <v>2219</v>
      </c>
      <c r="H32" s="5" t="s">
        <v>66</v>
      </c>
      <c r="I32" s="10">
        <v>101.05833333333332</v>
      </c>
      <c r="J32" s="49">
        <v>24</v>
      </c>
      <c r="K32" s="35">
        <v>8.6</v>
      </c>
      <c r="L32" s="35">
        <v>1.5</v>
      </c>
      <c r="M32" s="35">
        <v>288</v>
      </c>
      <c r="N32" s="9">
        <v>101.05833333333332</v>
      </c>
      <c r="O32" s="53">
        <v>501.17824981708986</v>
      </c>
      <c r="P32" s="53">
        <v>602.23658315042314</v>
      </c>
      <c r="Q32" s="53">
        <v>101.05833333333328</v>
      </c>
      <c r="R32" s="53">
        <v>602.23658315042314</v>
      </c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 t="s">
        <v>99</v>
      </c>
      <c r="BI32" s="43">
        <v>180.81841581841582</v>
      </c>
      <c r="BJ32" s="43">
        <v>288</v>
      </c>
      <c r="BK32" s="43">
        <v>288</v>
      </c>
      <c r="BL32" s="43">
        <v>288</v>
      </c>
      <c r="BM32" s="43">
        <v>288</v>
      </c>
      <c r="BN32" s="43">
        <v>288</v>
      </c>
      <c r="BO32" s="43">
        <v>288</v>
      </c>
      <c r="BP32" s="43">
        <v>288</v>
      </c>
      <c r="BQ32" s="43">
        <v>22.181584181584185</v>
      </c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</row>
    <row r="33" spans="1:153" x14ac:dyDescent="0.25">
      <c r="A33" s="61"/>
      <c r="B33" s="35">
        <v>8</v>
      </c>
      <c r="C33" s="8" t="s">
        <v>61</v>
      </c>
      <c r="D33" s="8"/>
      <c r="E33" s="8"/>
      <c r="F33" s="7">
        <v>1018</v>
      </c>
      <c r="G33" s="49">
        <v>24</v>
      </c>
      <c r="H33" s="5" t="s">
        <v>66</v>
      </c>
      <c r="I33" s="10">
        <v>10</v>
      </c>
      <c r="J33" s="49">
        <v>24</v>
      </c>
      <c r="K33" s="35">
        <v>9</v>
      </c>
      <c r="L33" s="35">
        <v>1.5</v>
      </c>
      <c r="M33" s="35">
        <v>288</v>
      </c>
      <c r="N33" s="9">
        <v>10</v>
      </c>
      <c r="O33" s="53">
        <v>602.23658315042314</v>
      </c>
      <c r="P33" s="53">
        <v>612.23658315042314</v>
      </c>
      <c r="Q33" s="53">
        <v>10</v>
      </c>
      <c r="R33" s="53">
        <v>612.23658315042314</v>
      </c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>
        <v>24</v>
      </c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ET33" s="28" t="s">
        <v>99</v>
      </c>
      <c r="EU33" s="28" t="s">
        <v>99</v>
      </c>
      <c r="EV33" s="28" t="s">
        <v>99</v>
      </c>
      <c r="EW33" s="28">
        <v>24</v>
      </c>
    </row>
    <row r="34" spans="1:153" x14ac:dyDescent="0.25">
      <c r="A34" s="61"/>
      <c r="B34" s="35">
        <v>23</v>
      </c>
      <c r="C34" s="8"/>
      <c r="D34" s="8"/>
      <c r="E34" s="8"/>
      <c r="F34" s="7"/>
      <c r="G34" s="49"/>
      <c r="H34" s="5"/>
      <c r="I34" s="10">
        <v>0</v>
      </c>
      <c r="J34" s="49" t="e">
        <v>#N/A</v>
      </c>
      <c r="K34" s="35" t="e">
        <v>#N/A</v>
      </c>
      <c r="L34" s="35" t="e">
        <v>#N/A</v>
      </c>
      <c r="M34" s="35" t="e">
        <v>#N/A</v>
      </c>
      <c r="N34" s="9">
        <v>0</v>
      </c>
      <c r="O34" s="53">
        <v>612.23658315042314</v>
      </c>
      <c r="P34" s="53">
        <v>612.23658315042314</v>
      </c>
      <c r="Q34" s="53">
        <v>0</v>
      </c>
      <c r="R34" s="53">
        <v>612.23658315042314</v>
      </c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</row>
    <row r="35" spans="1:153" x14ac:dyDescent="0.25">
      <c r="A35" s="61"/>
      <c r="B35" s="35">
        <v>24</v>
      </c>
      <c r="C35" s="8"/>
      <c r="D35" s="8"/>
      <c r="E35" s="8"/>
      <c r="F35" s="7"/>
      <c r="G35" s="49"/>
      <c r="H35" s="5"/>
      <c r="I35" s="10">
        <v>0</v>
      </c>
      <c r="J35" s="49" t="e">
        <v>#N/A</v>
      </c>
      <c r="K35" s="35" t="e">
        <v>#N/A</v>
      </c>
      <c r="L35" s="35" t="e">
        <v>#N/A</v>
      </c>
      <c r="M35" s="35" t="e">
        <v>#N/A</v>
      </c>
      <c r="N35" s="9">
        <v>0</v>
      </c>
      <c r="O35" s="53">
        <v>612.23658315042314</v>
      </c>
      <c r="P35" s="53">
        <v>612.23658315042314</v>
      </c>
      <c r="Q35" s="53">
        <v>0</v>
      </c>
      <c r="R35" s="53">
        <v>612.23658315042314</v>
      </c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</row>
    <row r="36" spans="1:153" x14ac:dyDescent="0.25">
      <c r="A36" s="61"/>
      <c r="B36" s="35">
        <v>25</v>
      </c>
      <c r="C36" s="8"/>
      <c r="D36" s="8"/>
      <c r="E36" s="8"/>
      <c r="F36" s="7"/>
      <c r="G36" s="49"/>
      <c r="H36" s="5"/>
      <c r="I36" s="10">
        <v>0</v>
      </c>
      <c r="J36" s="49" t="e">
        <v>#N/A</v>
      </c>
      <c r="K36" s="35" t="e">
        <v>#N/A</v>
      </c>
      <c r="L36" s="35" t="e">
        <v>#N/A</v>
      </c>
      <c r="M36" s="35" t="e">
        <v>#N/A</v>
      </c>
      <c r="N36" s="9">
        <v>0</v>
      </c>
      <c r="O36" s="53">
        <v>612.23658315042314</v>
      </c>
      <c r="P36" s="53">
        <v>612.23658315042314</v>
      </c>
      <c r="Q36" s="53">
        <v>0</v>
      </c>
      <c r="R36" s="53">
        <v>612.23658315042314</v>
      </c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</row>
    <row r="37" spans="1:153" x14ac:dyDescent="0.25">
      <c r="A37" s="61"/>
      <c r="B37" s="35">
        <v>26</v>
      </c>
      <c r="C37" s="8"/>
      <c r="D37" s="8"/>
      <c r="E37" s="8"/>
      <c r="F37" s="7"/>
      <c r="G37" s="49"/>
      <c r="H37" s="5"/>
      <c r="I37" s="10">
        <v>0</v>
      </c>
      <c r="J37" s="49" t="e">
        <v>#N/A</v>
      </c>
      <c r="K37" s="35" t="e">
        <v>#N/A</v>
      </c>
      <c r="L37" s="35" t="e">
        <v>#N/A</v>
      </c>
      <c r="M37" s="35" t="e">
        <v>#N/A</v>
      </c>
      <c r="N37" s="9">
        <v>0</v>
      </c>
      <c r="O37" s="53">
        <v>612.23658315042314</v>
      </c>
      <c r="P37" s="53">
        <v>612.23658315042314</v>
      </c>
      <c r="Q37" s="53">
        <v>0</v>
      </c>
      <c r="R37" s="53">
        <v>612.23658315042314</v>
      </c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</row>
    <row r="38" spans="1:153" x14ac:dyDescent="0.25">
      <c r="A38" s="61"/>
      <c r="B38" s="35">
        <v>27</v>
      </c>
      <c r="C38" s="8"/>
      <c r="D38" s="8"/>
      <c r="E38" s="8"/>
      <c r="F38" s="7"/>
      <c r="G38" s="49"/>
      <c r="H38" s="5"/>
      <c r="I38" s="10">
        <v>0</v>
      </c>
      <c r="J38" s="49" t="e">
        <v>#N/A</v>
      </c>
      <c r="K38" s="35" t="e">
        <v>#N/A</v>
      </c>
      <c r="L38" s="35" t="e">
        <v>#N/A</v>
      </c>
      <c r="M38" s="35" t="e">
        <v>#N/A</v>
      </c>
      <c r="N38" s="9">
        <v>0</v>
      </c>
      <c r="O38" s="53">
        <v>612.23658315042314</v>
      </c>
      <c r="P38" s="53">
        <v>612.23658315042314</v>
      </c>
      <c r="Q38" s="53">
        <v>0</v>
      </c>
      <c r="R38" s="53">
        <v>612.23658315042314</v>
      </c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</row>
    <row r="39" spans="1:153" x14ac:dyDescent="0.25">
      <c r="A39" s="61"/>
      <c r="B39" s="35">
        <v>28</v>
      </c>
      <c r="C39" s="8"/>
      <c r="D39" s="8"/>
      <c r="E39" s="8"/>
      <c r="F39" s="7"/>
      <c r="G39" s="49"/>
      <c r="H39" s="5"/>
      <c r="I39" s="10">
        <v>0</v>
      </c>
      <c r="J39" s="49" t="e">
        <v>#N/A</v>
      </c>
      <c r="K39" s="35" t="e">
        <v>#N/A</v>
      </c>
      <c r="L39" s="35" t="e">
        <v>#N/A</v>
      </c>
      <c r="M39" s="35" t="e">
        <v>#N/A</v>
      </c>
      <c r="N39" s="9">
        <v>0</v>
      </c>
      <c r="O39" s="53">
        <v>612.23658315042314</v>
      </c>
      <c r="P39" s="53">
        <v>612.23658315042314</v>
      </c>
      <c r="Q39" s="53">
        <v>0</v>
      </c>
      <c r="R39" s="53">
        <v>612.23658315042314</v>
      </c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</row>
    <row r="40" spans="1:153" x14ac:dyDescent="0.25">
      <c r="A40" s="61"/>
      <c r="B40" s="35">
        <v>29</v>
      </c>
      <c r="C40" s="8"/>
      <c r="D40" s="8"/>
      <c r="E40" s="8"/>
      <c r="F40" s="7"/>
      <c r="G40" s="49"/>
      <c r="H40" s="5"/>
      <c r="I40" s="10">
        <v>0</v>
      </c>
      <c r="J40" s="49" t="e">
        <v>#N/A</v>
      </c>
      <c r="K40" s="35" t="e">
        <v>#N/A</v>
      </c>
      <c r="L40" s="35" t="e">
        <v>#N/A</v>
      </c>
      <c r="M40" s="35" t="e">
        <v>#N/A</v>
      </c>
      <c r="N40" s="9">
        <v>0</v>
      </c>
      <c r="O40" s="53">
        <v>612.23658315042314</v>
      </c>
      <c r="P40" s="53">
        <v>612.23658315042314</v>
      </c>
      <c r="Q40" s="53">
        <v>0</v>
      </c>
      <c r="R40" s="53">
        <v>612.23658315042314</v>
      </c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</row>
    <row r="41" spans="1:153" x14ac:dyDescent="0.25">
      <c r="A41" s="61"/>
      <c r="B41" s="35">
        <v>30</v>
      </c>
      <c r="C41" s="8"/>
      <c r="D41" s="8"/>
      <c r="E41" s="8"/>
      <c r="F41" s="7"/>
      <c r="G41" s="49"/>
      <c r="H41" s="5"/>
      <c r="I41" s="10">
        <v>0</v>
      </c>
      <c r="J41" s="49" t="e">
        <v>#N/A</v>
      </c>
      <c r="K41" s="35" t="e">
        <v>#N/A</v>
      </c>
      <c r="L41" s="35" t="e">
        <v>#N/A</v>
      </c>
      <c r="M41" s="35" t="e">
        <v>#N/A</v>
      </c>
      <c r="N41" s="9">
        <v>0</v>
      </c>
      <c r="O41" s="53">
        <v>612.23658315042314</v>
      </c>
      <c r="P41" s="53">
        <v>612.23658315042314</v>
      </c>
      <c r="Q41" s="53">
        <v>0</v>
      </c>
      <c r="R41" s="53">
        <v>612.23658315042314</v>
      </c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</row>
    <row r="42" spans="1:153" x14ac:dyDescent="0.25">
      <c r="A42" s="61"/>
      <c r="B42" s="35">
        <v>31</v>
      </c>
      <c r="C42" s="8"/>
      <c r="D42" s="8"/>
      <c r="E42" s="8"/>
      <c r="F42" s="7"/>
      <c r="G42" s="49"/>
      <c r="H42" s="5"/>
      <c r="I42" s="10">
        <v>0</v>
      </c>
      <c r="J42" s="49" t="e">
        <v>#N/A</v>
      </c>
      <c r="K42" s="35" t="e">
        <v>#N/A</v>
      </c>
      <c r="L42" s="35" t="e">
        <v>#N/A</v>
      </c>
      <c r="M42" s="35" t="e">
        <v>#N/A</v>
      </c>
      <c r="N42" s="9">
        <v>0</v>
      </c>
      <c r="O42" s="53">
        <v>612.23658315042314</v>
      </c>
      <c r="P42" s="53">
        <v>612.23658315042314</v>
      </c>
      <c r="Q42" s="53">
        <v>0</v>
      </c>
      <c r="R42" s="53">
        <v>612.23658315042314</v>
      </c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</row>
    <row r="43" spans="1:153" x14ac:dyDescent="0.25">
      <c r="A43" s="61"/>
      <c r="B43" s="35">
        <v>32</v>
      </c>
      <c r="C43" s="8"/>
      <c r="D43" s="8"/>
      <c r="E43" s="8"/>
      <c r="F43" s="7"/>
      <c r="G43" s="49"/>
      <c r="H43" s="5"/>
      <c r="I43" s="10">
        <v>0</v>
      </c>
      <c r="J43" s="49" t="e">
        <v>#N/A</v>
      </c>
      <c r="K43" s="35" t="e">
        <v>#N/A</v>
      </c>
      <c r="L43" s="35" t="e">
        <v>#N/A</v>
      </c>
      <c r="M43" s="35" t="e">
        <v>#N/A</v>
      </c>
      <c r="N43" s="9">
        <v>0</v>
      </c>
      <c r="O43" s="53">
        <v>612.23658315042314</v>
      </c>
      <c r="P43" s="53">
        <v>612.23658315042314</v>
      </c>
      <c r="Q43" s="53">
        <v>0</v>
      </c>
      <c r="R43" s="53">
        <v>612.23658315042314</v>
      </c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</row>
    <row r="44" spans="1:153" x14ac:dyDescent="0.25">
      <c r="A44" s="61"/>
      <c r="B44" s="35">
        <v>33</v>
      </c>
      <c r="C44" s="8"/>
      <c r="D44" s="8"/>
      <c r="E44" s="8"/>
      <c r="F44" s="7"/>
      <c r="G44" s="49"/>
      <c r="H44" s="5"/>
      <c r="I44" s="10">
        <v>0</v>
      </c>
      <c r="J44" s="49" t="e">
        <v>#N/A</v>
      </c>
      <c r="K44" s="35" t="e">
        <v>#N/A</v>
      </c>
      <c r="L44" s="35" t="e">
        <v>#N/A</v>
      </c>
      <c r="M44" s="35" t="e">
        <v>#N/A</v>
      </c>
      <c r="N44" s="9">
        <v>0</v>
      </c>
      <c r="O44" s="53">
        <v>612.23658315042314</v>
      </c>
      <c r="P44" s="53">
        <v>612.23658315042314</v>
      </c>
      <c r="Q44" s="53">
        <v>0</v>
      </c>
      <c r="R44" s="53">
        <v>612.23658315042314</v>
      </c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</row>
    <row r="45" spans="1:153" x14ac:dyDescent="0.25">
      <c r="A45" s="61"/>
      <c r="B45" s="35">
        <v>34</v>
      </c>
      <c r="C45" s="8"/>
      <c r="D45" s="8"/>
      <c r="E45" s="8"/>
      <c r="F45" s="7"/>
      <c r="G45" s="49"/>
      <c r="H45" s="5"/>
      <c r="I45" s="10">
        <v>0</v>
      </c>
      <c r="J45" s="49" t="e">
        <v>#N/A</v>
      </c>
      <c r="K45" s="35" t="e">
        <v>#N/A</v>
      </c>
      <c r="L45" s="35" t="e">
        <v>#N/A</v>
      </c>
      <c r="M45" s="35" t="e">
        <v>#N/A</v>
      </c>
      <c r="N45" s="9">
        <v>0</v>
      </c>
      <c r="O45" s="53">
        <v>612.23658315042314</v>
      </c>
      <c r="P45" s="53">
        <v>612.23658315042314</v>
      </c>
      <c r="Q45" s="53">
        <v>0</v>
      </c>
      <c r="R45" s="53">
        <v>612.23658315042314</v>
      </c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</row>
    <row r="46" spans="1:153" x14ac:dyDescent="0.25">
      <c r="A46" s="61"/>
      <c r="B46" s="35">
        <v>35</v>
      </c>
      <c r="C46" s="8"/>
      <c r="D46" s="8"/>
      <c r="E46" s="8"/>
      <c r="F46" s="7"/>
      <c r="G46" s="49"/>
      <c r="H46" s="5"/>
      <c r="I46" s="10">
        <v>0</v>
      </c>
      <c r="J46" s="49" t="e">
        <v>#N/A</v>
      </c>
      <c r="K46" s="35" t="e">
        <v>#N/A</v>
      </c>
      <c r="L46" s="35" t="e">
        <v>#N/A</v>
      </c>
      <c r="M46" s="35" t="e">
        <v>#N/A</v>
      </c>
      <c r="N46" s="9">
        <v>0</v>
      </c>
      <c r="O46" s="53">
        <v>612.23658315042314</v>
      </c>
      <c r="P46" s="53">
        <v>612.23658315042314</v>
      </c>
      <c r="Q46" s="53">
        <v>0</v>
      </c>
      <c r="R46" s="53">
        <v>612.23658315042314</v>
      </c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</row>
    <row r="47" spans="1:153" x14ac:dyDescent="0.25">
      <c r="A47" s="61"/>
      <c r="B47" s="35">
        <v>36</v>
      </c>
      <c r="C47" s="8"/>
      <c r="D47" s="8"/>
      <c r="E47" s="8"/>
      <c r="F47" s="7"/>
      <c r="G47" s="49"/>
      <c r="H47" s="5"/>
      <c r="I47" s="10">
        <v>0</v>
      </c>
      <c r="J47" s="49" t="e">
        <v>#N/A</v>
      </c>
      <c r="K47" s="35" t="e">
        <v>#N/A</v>
      </c>
      <c r="L47" s="35" t="e">
        <v>#N/A</v>
      </c>
      <c r="M47" s="35" t="e">
        <v>#N/A</v>
      </c>
      <c r="N47" s="9">
        <v>0</v>
      </c>
      <c r="O47" s="53">
        <v>612.23658315042314</v>
      </c>
      <c r="P47" s="53">
        <v>612.23658315042314</v>
      </c>
      <c r="Q47" s="53">
        <v>0</v>
      </c>
      <c r="R47" s="53">
        <v>612.23658315042314</v>
      </c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</row>
    <row r="48" spans="1:153" x14ac:dyDescent="0.25">
      <c r="A48" s="61"/>
      <c r="B48" s="35">
        <v>37</v>
      </c>
      <c r="C48" s="8"/>
      <c r="D48" s="8"/>
      <c r="E48" s="8"/>
      <c r="F48" s="7"/>
      <c r="G48" s="49"/>
      <c r="H48" s="5"/>
      <c r="I48" s="10">
        <v>0</v>
      </c>
      <c r="J48" s="49" t="e">
        <v>#N/A</v>
      </c>
      <c r="K48" s="35" t="e">
        <v>#N/A</v>
      </c>
      <c r="L48" s="35" t="e">
        <v>#N/A</v>
      </c>
      <c r="M48" s="35" t="e">
        <v>#N/A</v>
      </c>
      <c r="N48" s="9">
        <v>0</v>
      </c>
      <c r="O48" s="53">
        <v>612.23658315042314</v>
      </c>
      <c r="P48" s="53">
        <v>612.23658315042314</v>
      </c>
      <c r="Q48" s="53">
        <v>0</v>
      </c>
      <c r="R48" s="53">
        <v>612.23658315042314</v>
      </c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</row>
    <row r="49" spans="1:80" x14ac:dyDescent="0.25">
      <c r="A49" s="61"/>
      <c r="B49" s="35">
        <v>38</v>
      </c>
      <c r="C49" s="8"/>
      <c r="D49" s="8"/>
      <c r="E49" s="8"/>
      <c r="F49" s="7"/>
      <c r="G49" s="49"/>
      <c r="H49" s="5"/>
      <c r="I49" s="10">
        <v>0</v>
      </c>
      <c r="J49" s="49" t="e">
        <v>#N/A</v>
      </c>
      <c r="K49" s="35" t="e">
        <v>#N/A</v>
      </c>
      <c r="L49" s="35" t="e">
        <v>#N/A</v>
      </c>
      <c r="M49" s="35" t="e">
        <v>#N/A</v>
      </c>
      <c r="N49" s="9">
        <v>0</v>
      </c>
      <c r="O49" s="53">
        <v>612.23658315042314</v>
      </c>
      <c r="P49" s="53">
        <v>612.23658315042314</v>
      </c>
      <c r="Q49" s="53">
        <v>0</v>
      </c>
      <c r="R49" s="53">
        <v>612.23658315042314</v>
      </c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</row>
    <row r="50" spans="1:80" x14ac:dyDescent="0.25">
      <c r="A50" s="61"/>
      <c r="B50" s="35">
        <v>39</v>
      </c>
      <c r="C50" s="8"/>
      <c r="D50" s="8"/>
      <c r="E50" s="8"/>
      <c r="F50" s="7"/>
      <c r="G50" s="49"/>
      <c r="H50" s="5"/>
      <c r="I50" s="10">
        <v>0</v>
      </c>
      <c r="J50" s="49" t="e">
        <v>#N/A</v>
      </c>
      <c r="K50" s="35" t="e">
        <v>#N/A</v>
      </c>
      <c r="L50" s="35" t="e">
        <v>#N/A</v>
      </c>
      <c r="M50" s="35" t="e">
        <v>#N/A</v>
      </c>
      <c r="N50" s="9">
        <v>0</v>
      </c>
      <c r="O50" s="53">
        <v>612.23658315042314</v>
      </c>
      <c r="P50" s="53">
        <v>612.23658315042314</v>
      </c>
      <c r="Q50" s="53">
        <v>0</v>
      </c>
      <c r="R50" s="53">
        <v>612.23658315042314</v>
      </c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</row>
    <row r="51" spans="1:80" x14ac:dyDescent="0.25">
      <c r="A51" s="61"/>
      <c r="B51" s="35">
        <v>40</v>
      </c>
      <c r="C51" s="8"/>
      <c r="D51" s="8"/>
      <c r="E51" s="8"/>
      <c r="F51" s="7"/>
      <c r="G51" s="49"/>
      <c r="H51" s="5"/>
      <c r="I51" s="10">
        <v>0</v>
      </c>
      <c r="J51" s="49" t="e">
        <v>#N/A</v>
      </c>
      <c r="K51" s="35" t="e">
        <v>#N/A</v>
      </c>
      <c r="L51" s="35" t="e">
        <v>#N/A</v>
      </c>
      <c r="M51" s="35" t="e">
        <v>#N/A</v>
      </c>
      <c r="N51" s="9">
        <v>0</v>
      </c>
      <c r="O51" s="53">
        <v>612.23658315042314</v>
      </c>
      <c r="P51" s="53">
        <v>612.23658315042314</v>
      </c>
      <c r="Q51" s="53">
        <v>0</v>
      </c>
      <c r="R51" s="53">
        <v>612.23658315042314</v>
      </c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</row>
    <row r="52" spans="1:80" x14ac:dyDescent="0.25">
      <c r="A52" s="61"/>
      <c r="B52" s="35">
        <v>41</v>
      </c>
      <c r="C52" s="8"/>
      <c r="D52" s="8"/>
      <c r="E52" s="8"/>
      <c r="F52" s="7"/>
      <c r="G52" s="49"/>
      <c r="H52" s="5"/>
      <c r="I52" s="10">
        <v>0</v>
      </c>
      <c r="J52" s="49" t="e">
        <v>#N/A</v>
      </c>
      <c r="K52" s="35" t="e">
        <v>#N/A</v>
      </c>
      <c r="L52" s="35" t="e">
        <v>#N/A</v>
      </c>
      <c r="M52" s="35" t="e">
        <v>#N/A</v>
      </c>
      <c r="N52" s="9">
        <v>0</v>
      </c>
      <c r="O52" s="53">
        <v>612.23658315042314</v>
      </c>
      <c r="P52" s="53">
        <v>612.23658315042314</v>
      </c>
      <c r="Q52" s="53">
        <v>0</v>
      </c>
      <c r="R52" s="53">
        <v>612.23658315042314</v>
      </c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</row>
    <row r="53" spans="1:80" x14ac:dyDescent="0.25">
      <c r="A53" s="61"/>
      <c r="B53" s="35">
        <v>42</v>
      </c>
      <c r="C53" s="8"/>
      <c r="D53" s="8"/>
      <c r="E53" s="8"/>
      <c r="F53" s="7"/>
      <c r="G53" s="49"/>
      <c r="H53" s="5"/>
      <c r="I53" s="10">
        <v>0</v>
      </c>
      <c r="J53" s="49" t="e">
        <v>#N/A</v>
      </c>
      <c r="K53" s="35" t="e">
        <v>#N/A</v>
      </c>
      <c r="L53" s="35" t="e">
        <v>#N/A</v>
      </c>
      <c r="M53" s="35" t="e">
        <v>#N/A</v>
      </c>
      <c r="N53" s="9">
        <v>0</v>
      </c>
      <c r="O53" s="53">
        <v>612.23658315042314</v>
      </c>
      <c r="P53" s="53">
        <v>612.23658315042314</v>
      </c>
      <c r="Q53" s="53">
        <v>0</v>
      </c>
      <c r="R53" s="53">
        <v>612.23658315042314</v>
      </c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</row>
    <row r="54" spans="1:80" x14ac:dyDescent="0.25">
      <c r="A54" s="61"/>
      <c r="B54" s="35">
        <v>43</v>
      </c>
      <c r="C54" s="8"/>
      <c r="D54" s="8"/>
      <c r="E54" s="8"/>
      <c r="F54" s="7"/>
      <c r="G54" s="49"/>
      <c r="H54" s="5"/>
      <c r="I54" s="10">
        <v>0</v>
      </c>
      <c r="J54" s="49" t="e">
        <v>#N/A</v>
      </c>
      <c r="K54" s="35" t="e">
        <v>#N/A</v>
      </c>
      <c r="L54" s="35" t="e">
        <v>#N/A</v>
      </c>
      <c r="M54" s="35" t="e">
        <v>#N/A</v>
      </c>
      <c r="N54" s="9">
        <v>0</v>
      </c>
      <c r="O54" s="53">
        <v>612.23658315042314</v>
      </c>
      <c r="P54" s="53">
        <v>612.23658315042314</v>
      </c>
      <c r="Q54" s="53">
        <v>0</v>
      </c>
      <c r="R54" s="53">
        <v>612.23658315042314</v>
      </c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</row>
    <row r="55" spans="1:80" x14ac:dyDescent="0.25">
      <c r="A55" s="61"/>
      <c r="B55" s="35">
        <v>44</v>
      </c>
      <c r="C55" s="8"/>
      <c r="D55" s="8"/>
      <c r="E55" s="8"/>
      <c r="F55" s="7"/>
      <c r="G55" s="49"/>
      <c r="H55" s="5"/>
      <c r="I55" s="10">
        <v>0</v>
      </c>
      <c r="J55" s="49" t="e">
        <v>#N/A</v>
      </c>
      <c r="K55" s="35" t="e">
        <v>#N/A</v>
      </c>
      <c r="L55" s="35" t="e">
        <v>#N/A</v>
      </c>
      <c r="M55" s="35" t="e">
        <v>#N/A</v>
      </c>
      <c r="N55" s="9">
        <v>0</v>
      </c>
      <c r="O55" s="53">
        <v>612.23658315042314</v>
      </c>
      <c r="P55" s="53">
        <v>612.23658315042314</v>
      </c>
      <c r="Q55" s="53">
        <v>0</v>
      </c>
      <c r="R55" s="53">
        <v>612.23658315042314</v>
      </c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</row>
    <row r="56" spans="1:80" x14ac:dyDescent="0.25">
      <c r="A56" s="61"/>
      <c r="B56" s="35">
        <v>45</v>
      </c>
      <c r="C56" s="8"/>
      <c r="D56" s="8"/>
      <c r="E56" s="8"/>
      <c r="F56" s="7"/>
      <c r="G56" s="49"/>
      <c r="H56" s="5"/>
      <c r="I56" s="10">
        <v>0</v>
      </c>
      <c r="J56" s="49" t="e">
        <v>#N/A</v>
      </c>
      <c r="K56" s="35" t="e">
        <v>#N/A</v>
      </c>
      <c r="L56" s="35" t="e">
        <v>#N/A</v>
      </c>
      <c r="M56" s="35" t="e">
        <v>#N/A</v>
      </c>
      <c r="N56" s="9">
        <v>0</v>
      </c>
      <c r="O56" s="53">
        <v>612.23658315042314</v>
      </c>
      <c r="P56" s="53">
        <v>612.23658315042314</v>
      </c>
      <c r="Q56" s="53">
        <v>0</v>
      </c>
      <c r="R56" s="53">
        <v>612.23658315042314</v>
      </c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</row>
    <row r="57" spans="1:80" x14ac:dyDescent="0.25">
      <c r="A57" s="61"/>
      <c r="B57" s="35">
        <v>46</v>
      </c>
      <c r="C57" s="8"/>
      <c r="D57" s="8"/>
      <c r="E57" s="8"/>
      <c r="F57" s="7"/>
      <c r="G57" s="49"/>
      <c r="H57" s="5"/>
      <c r="I57" s="10">
        <v>0</v>
      </c>
      <c r="J57" s="49" t="e">
        <v>#N/A</v>
      </c>
      <c r="K57" s="35" t="e">
        <v>#N/A</v>
      </c>
      <c r="L57" s="35" t="e">
        <v>#N/A</v>
      </c>
      <c r="M57" s="35" t="e">
        <v>#N/A</v>
      </c>
      <c r="N57" s="9">
        <v>0</v>
      </c>
      <c r="O57" s="53">
        <v>612.23658315042314</v>
      </c>
      <c r="P57" s="53">
        <v>612.23658315042314</v>
      </c>
      <c r="Q57" s="53">
        <v>0</v>
      </c>
      <c r="R57" s="53">
        <v>612.23658315042314</v>
      </c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</row>
    <row r="58" spans="1:80" x14ac:dyDescent="0.25">
      <c r="A58" s="61"/>
      <c r="B58" s="35">
        <v>47</v>
      </c>
      <c r="C58" s="8"/>
      <c r="D58" s="8"/>
      <c r="E58" s="8"/>
      <c r="F58" s="7"/>
      <c r="G58" s="49"/>
      <c r="H58" s="5"/>
      <c r="I58" s="10">
        <v>0</v>
      </c>
      <c r="J58" s="49" t="e">
        <v>#N/A</v>
      </c>
      <c r="K58" s="35" t="e">
        <v>#N/A</v>
      </c>
      <c r="L58" s="35" t="e">
        <v>#N/A</v>
      </c>
      <c r="M58" s="35" t="e">
        <v>#N/A</v>
      </c>
      <c r="N58" s="9">
        <v>0</v>
      </c>
      <c r="O58" s="53">
        <v>612.23658315042314</v>
      </c>
      <c r="P58" s="53">
        <v>612.23658315042314</v>
      </c>
      <c r="Q58" s="53">
        <v>0</v>
      </c>
      <c r="R58" s="53">
        <v>612.23658315042314</v>
      </c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</row>
    <row r="59" spans="1:80" x14ac:dyDescent="0.25">
      <c r="A59" s="61"/>
      <c r="B59" s="35">
        <v>48</v>
      </c>
      <c r="C59" s="8"/>
      <c r="D59" s="8"/>
      <c r="E59" s="8"/>
      <c r="F59" s="7"/>
      <c r="G59" s="49"/>
      <c r="H59" s="5"/>
      <c r="I59" s="10">
        <v>0</v>
      </c>
      <c r="J59" s="49" t="e">
        <v>#N/A</v>
      </c>
      <c r="K59" s="35" t="e">
        <v>#N/A</v>
      </c>
      <c r="L59" s="35" t="e">
        <v>#N/A</v>
      </c>
      <c r="M59" s="35" t="e">
        <v>#N/A</v>
      </c>
      <c r="N59" s="9">
        <v>0</v>
      </c>
      <c r="O59" s="53">
        <v>612.23658315042314</v>
      </c>
      <c r="P59" s="53">
        <v>612.23658315042314</v>
      </c>
      <c r="Q59" s="53">
        <v>0</v>
      </c>
      <c r="R59" s="53">
        <v>612.23658315042314</v>
      </c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</row>
    <row r="60" spans="1:80" x14ac:dyDescent="0.25">
      <c r="A60" s="61"/>
      <c r="B60" s="35">
        <v>49</v>
      </c>
      <c r="C60" s="8"/>
      <c r="D60" s="8"/>
      <c r="E60" s="8"/>
      <c r="F60" s="7"/>
      <c r="G60" s="49"/>
      <c r="H60" s="5"/>
      <c r="I60" s="10">
        <v>0</v>
      </c>
      <c r="J60" s="49" t="e">
        <v>#N/A</v>
      </c>
      <c r="K60" s="35" t="e">
        <v>#N/A</v>
      </c>
      <c r="L60" s="35" t="e">
        <v>#N/A</v>
      </c>
      <c r="M60" s="35" t="e">
        <v>#N/A</v>
      </c>
      <c r="N60" s="9">
        <v>0</v>
      </c>
      <c r="O60" s="53">
        <v>612.23658315042314</v>
      </c>
      <c r="P60" s="53">
        <v>612.23658315042314</v>
      </c>
      <c r="Q60" s="53">
        <v>0</v>
      </c>
      <c r="R60" s="53">
        <v>612.23658315042314</v>
      </c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</row>
    <row r="61" spans="1:80" x14ac:dyDescent="0.25">
      <c r="A61" s="61"/>
      <c r="B61" s="35">
        <v>50</v>
      </c>
      <c r="C61" s="8"/>
      <c r="D61" s="8"/>
      <c r="E61" s="8"/>
      <c r="F61" s="7"/>
      <c r="G61" s="49"/>
      <c r="H61" s="5"/>
      <c r="I61" s="10">
        <v>0</v>
      </c>
      <c r="J61" s="49" t="e">
        <v>#N/A</v>
      </c>
      <c r="K61" s="35" t="e">
        <v>#N/A</v>
      </c>
      <c r="L61" s="35" t="e">
        <v>#N/A</v>
      </c>
      <c r="M61" s="35" t="e">
        <v>#N/A</v>
      </c>
      <c r="N61" s="9">
        <v>0</v>
      </c>
      <c r="O61" s="53">
        <v>612.23658315042314</v>
      </c>
      <c r="P61" s="53">
        <v>612.23658315042314</v>
      </c>
      <c r="Q61" s="53">
        <v>0</v>
      </c>
      <c r="R61" s="53">
        <v>612.23658315042314</v>
      </c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</row>
    <row r="62" spans="1:80" x14ac:dyDescent="0.25">
      <c r="A62" s="61"/>
      <c r="B62" s="35">
        <v>51</v>
      </c>
      <c r="C62" s="8"/>
      <c r="D62" s="8"/>
      <c r="E62" s="8"/>
      <c r="F62" s="7"/>
      <c r="G62" s="49"/>
      <c r="H62" s="5"/>
      <c r="I62" s="10">
        <v>0</v>
      </c>
      <c r="J62" s="49" t="e">
        <v>#N/A</v>
      </c>
      <c r="K62" s="35" t="e">
        <v>#N/A</v>
      </c>
      <c r="L62" s="35" t="e">
        <v>#N/A</v>
      </c>
      <c r="M62" s="35" t="e">
        <v>#N/A</v>
      </c>
      <c r="N62" s="9">
        <v>0</v>
      </c>
      <c r="O62" s="53">
        <v>612.23658315042314</v>
      </c>
      <c r="P62" s="53">
        <v>612.23658315042314</v>
      </c>
      <c r="Q62" s="53">
        <v>0</v>
      </c>
      <c r="R62" s="53">
        <v>612.23658315042314</v>
      </c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</row>
    <row r="63" spans="1:80" x14ac:dyDescent="0.25">
      <c r="A63" s="61"/>
      <c r="B63" s="35">
        <v>52</v>
      </c>
      <c r="C63" s="8"/>
      <c r="D63" s="8"/>
      <c r="E63" s="8"/>
      <c r="F63" s="7"/>
      <c r="G63" s="49"/>
      <c r="H63" s="5"/>
      <c r="I63" s="10">
        <v>0</v>
      </c>
      <c r="J63" s="49" t="e">
        <v>#N/A</v>
      </c>
      <c r="K63" s="35" t="e">
        <v>#N/A</v>
      </c>
      <c r="L63" s="35" t="e">
        <v>#N/A</v>
      </c>
      <c r="M63" s="35" t="e">
        <v>#N/A</v>
      </c>
      <c r="N63" s="9">
        <v>0</v>
      </c>
      <c r="O63" s="53">
        <v>612.23658315042314</v>
      </c>
      <c r="P63" s="53">
        <v>612.23658315042314</v>
      </c>
      <c r="Q63" s="53">
        <v>0</v>
      </c>
      <c r="R63" s="53">
        <v>612.23658315042314</v>
      </c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</row>
    <row r="64" spans="1:80" x14ac:dyDescent="0.25">
      <c r="A64" s="61"/>
      <c r="B64" s="35">
        <v>53</v>
      </c>
      <c r="C64" s="8"/>
      <c r="D64" s="8"/>
      <c r="E64" s="8"/>
      <c r="F64" s="7"/>
      <c r="G64" s="49"/>
      <c r="H64" s="5"/>
      <c r="I64" s="10">
        <v>0</v>
      </c>
      <c r="J64" s="49" t="e">
        <v>#N/A</v>
      </c>
      <c r="K64" s="35" t="e">
        <v>#N/A</v>
      </c>
      <c r="L64" s="35" t="e">
        <v>#N/A</v>
      </c>
      <c r="M64" s="35" t="e">
        <v>#N/A</v>
      </c>
      <c r="N64" s="9">
        <v>0</v>
      </c>
      <c r="O64" s="53">
        <v>612.23658315042314</v>
      </c>
      <c r="P64" s="53">
        <v>612.23658315042314</v>
      </c>
      <c r="Q64" s="53">
        <v>0</v>
      </c>
      <c r="R64" s="53">
        <v>612.23658315042314</v>
      </c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</row>
    <row r="65" spans="1:80" x14ac:dyDescent="0.25">
      <c r="A65" s="61"/>
      <c r="B65" s="35">
        <v>54</v>
      </c>
      <c r="C65" s="8"/>
      <c r="D65" s="8"/>
      <c r="E65" s="8"/>
      <c r="F65" s="7"/>
      <c r="G65" s="49"/>
      <c r="H65" s="5"/>
      <c r="I65" s="10">
        <v>0</v>
      </c>
      <c r="J65" s="49" t="e">
        <v>#N/A</v>
      </c>
      <c r="K65" s="35" t="e">
        <v>#N/A</v>
      </c>
      <c r="L65" s="35" t="e">
        <v>#N/A</v>
      </c>
      <c r="M65" s="35" t="e">
        <v>#N/A</v>
      </c>
      <c r="N65" s="9">
        <v>0</v>
      </c>
      <c r="O65" s="53">
        <v>612.23658315042314</v>
      </c>
      <c r="P65" s="53">
        <v>612.23658315042314</v>
      </c>
      <c r="Q65" s="53">
        <v>0</v>
      </c>
      <c r="R65" s="53">
        <v>612.23658315042314</v>
      </c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</row>
    <row r="66" spans="1:80" x14ac:dyDescent="0.25">
      <c r="A66" s="61"/>
      <c r="B66" s="35">
        <v>55</v>
      </c>
      <c r="C66" s="8"/>
      <c r="D66" s="8"/>
      <c r="E66" s="8"/>
      <c r="F66" s="7"/>
      <c r="G66" s="49"/>
      <c r="H66" s="5"/>
      <c r="I66" s="10">
        <v>0</v>
      </c>
      <c r="J66" s="49" t="e">
        <v>#N/A</v>
      </c>
      <c r="K66" s="35" t="e">
        <v>#N/A</v>
      </c>
      <c r="L66" s="35" t="e">
        <v>#N/A</v>
      </c>
      <c r="M66" s="35" t="e">
        <v>#N/A</v>
      </c>
      <c r="N66" s="9">
        <v>0</v>
      </c>
      <c r="O66" s="53">
        <v>612.23658315042314</v>
      </c>
      <c r="P66" s="53">
        <v>612.23658315042314</v>
      </c>
      <c r="Q66" s="53">
        <v>0</v>
      </c>
      <c r="R66" s="53">
        <v>612.23658315042314</v>
      </c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</row>
    <row r="67" spans="1:80" x14ac:dyDescent="0.25">
      <c r="A67" s="61"/>
      <c r="B67" s="35">
        <v>56</v>
      </c>
      <c r="C67" s="8"/>
      <c r="D67" s="8"/>
      <c r="E67" s="8"/>
      <c r="F67" s="7"/>
      <c r="G67" s="49"/>
      <c r="H67" s="5"/>
      <c r="I67" s="10">
        <v>0</v>
      </c>
      <c r="J67" s="49" t="e">
        <v>#N/A</v>
      </c>
      <c r="K67" s="35" t="e">
        <v>#N/A</v>
      </c>
      <c r="L67" s="35" t="e">
        <v>#N/A</v>
      </c>
      <c r="M67" s="35" t="e">
        <v>#N/A</v>
      </c>
      <c r="N67" s="9">
        <v>0</v>
      </c>
      <c r="O67" s="53">
        <v>612.23658315042314</v>
      </c>
      <c r="P67" s="53">
        <v>612.23658315042314</v>
      </c>
      <c r="Q67" s="53">
        <v>0</v>
      </c>
      <c r="R67" s="53">
        <v>612.23658315042314</v>
      </c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</row>
    <row r="68" spans="1:80" x14ac:dyDescent="0.25">
      <c r="A68" s="61"/>
      <c r="B68" s="35">
        <v>57</v>
      </c>
      <c r="C68" s="8"/>
      <c r="D68" s="8"/>
      <c r="E68" s="8"/>
      <c r="F68" s="7"/>
      <c r="G68" s="49"/>
      <c r="H68" s="5"/>
      <c r="I68" s="10">
        <v>0</v>
      </c>
      <c r="J68" s="49" t="e">
        <v>#N/A</v>
      </c>
      <c r="K68" s="35" t="e">
        <v>#N/A</v>
      </c>
      <c r="L68" s="35" t="e">
        <v>#N/A</v>
      </c>
      <c r="M68" s="35" t="e">
        <v>#N/A</v>
      </c>
      <c r="N68" s="9">
        <v>0</v>
      </c>
      <c r="O68" s="53">
        <v>612.23658315042314</v>
      </c>
      <c r="P68" s="53">
        <v>612.23658315042314</v>
      </c>
      <c r="Q68" s="53">
        <v>0</v>
      </c>
      <c r="R68" s="53">
        <v>612.23658315042314</v>
      </c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</row>
    <row r="69" spans="1:80" x14ac:dyDescent="0.25">
      <c r="A69" s="61"/>
      <c r="B69" s="35">
        <v>58</v>
      </c>
      <c r="C69" s="8"/>
      <c r="D69" s="8"/>
      <c r="E69" s="8"/>
      <c r="F69" s="7"/>
      <c r="G69" s="49"/>
      <c r="H69" s="5"/>
      <c r="I69" s="10">
        <v>0</v>
      </c>
      <c r="J69" s="49" t="e">
        <v>#N/A</v>
      </c>
      <c r="K69" s="35" t="e">
        <v>#N/A</v>
      </c>
      <c r="L69" s="35" t="e">
        <v>#N/A</v>
      </c>
      <c r="M69" s="35" t="e">
        <v>#N/A</v>
      </c>
      <c r="N69" s="9">
        <v>0</v>
      </c>
      <c r="O69" s="53">
        <v>612.23658315042314</v>
      </c>
      <c r="P69" s="53">
        <v>612.23658315042314</v>
      </c>
      <c r="Q69" s="53">
        <v>0</v>
      </c>
      <c r="R69" s="53">
        <v>612.23658315042314</v>
      </c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</row>
    <row r="70" spans="1:80" x14ac:dyDescent="0.25">
      <c r="A70" s="61"/>
      <c r="B70" s="35">
        <v>59</v>
      </c>
      <c r="C70" s="8"/>
      <c r="D70" s="8"/>
      <c r="E70" s="8"/>
      <c r="F70" s="7"/>
      <c r="G70" s="49"/>
      <c r="H70" s="5"/>
      <c r="I70" s="10">
        <v>0</v>
      </c>
      <c r="J70" s="49" t="e">
        <v>#N/A</v>
      </c>
      <c r="K70" s="35" t="e">
        <v>#N/A</v>
      </c>
      <c r="L70" s="35" t="e">
        <v>#N/A</v>
      </c>
      <c r="M70" s="35" t="e">
        <v>#N/A</v>
      </c>
      <c r="N70" s="9">
        <v>0</v>
      </c>
      <c r="O70" s="53">
        <v>612.23658315042314</v>
      </c>
      <c r="P70" s="53">
        <v>612.23658315042314</v>
      </c>
      <c r="Q70" s="53">
        <v>0</v>
      </c>
      <c r="R70" s="53">
        <v>612.23658315042314</v>
      </c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</row>
    <row r="71" spans="1:80" x14ac:dyDescent="0.25">
      <c r="A71" s="61"/>
      <c r="B71" s="35">
        <v>60</v>
      </c>
      <c r="C71" s="8"/>
      <c r="D71" s="8"/>
      <c r="E71" s="8"/>
      <c r="F71" s="7"/>
      <c r="G71" s="49"/>
      <c r="H71" s="5"/>
      <c r="I71" s="10">
        <v>0</v>
      </c>
      <c r="J71" s="49" t="e">
        <v>#N/A</v>
      </c>
      <c r="K71" s="35" t="e">
        <v>#N/A</v>
      </c>
      <c r="L71" s="35" t="e">
        <v>#N/A</v>
      </c>
      <c r="M71" s="35" t="e">
        <v>#N/A</v>
      </c>
      <c r="N71" s="9">
        <v>0</v>
      </c>
      <c r="O71" s="53">
        <v>612.23658315042314</v>
      </c>
      <c r="P71" s="53">
        <v>612.23658315042314</v>
      </c>
      <c r="Q71" s="53">
        <v>0</v>
      </c>
      <c r="R71" s="53">
        <v>612.23658315042314</v>
      </c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</row>
    <row r="72" spans="1:80" x14ac:dyDescent="0.25">
      <c r="A72" s="61"/>
      <c r="B72" s="35">
        <v>61</v>
      </c>
      <c r="C72" s="8"/>
      <c r="D72" s="8"/>
      <c r="E72" s="8"/>
      <c r="F72" s="7"/>
      <c r="G72" s="49"/>
      <c r="H72" s="5"/>
      <c r="I72" s="10">
        <v>0</v>
      </c>
      <c r="J72" s="49" t="e">
        <v>#N/A</v>
      </c>
      <c r="K72" s="35" t="e">
        <v>#N/A</v>
      </c>
      <c r="L72" s="35" t="e">
        <v>#N/A</v>
      </c>
      <c r="M72" s="35" t="e">
        <v>#N/A</v>
      </c>
      <c r="N72" s="9">
        <v>0</v>
      </c>
      <c r="O72" s="53">
        <v>612.23658315042314</v>
      </c>
      <c r="P72" s="53">
        <v>612.23658315042314</v>
      </c>
      <c r="Q72" s="53">
        <v>0</v>
      </c>
      <c r="R72" s="53">
        <v>612.23658315042314</v>
      </c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</row>
    <row r="73" spans="1:80" x14ac:dyDescent="0.25">
      <c r="A73" s="61"/>
      <c r="B73" s="35">
        <v>62</v>
      </c>
      <c r="C73" s="8"/>
      <c r="D73" s="8"/>
      <c r="E73" s="8"/>
      <c r="F73" s="7"/>
      <c r="G73" s="49"/>
      <c r="H73" s="5"/>
      <c r="I73" s="10">
        <v>0</v>
      </c>
      <c r="J73" s="49" t="e">
        <v>#N/A</v>
      </c>
      <c r="K73" s="35" t="e">
        <v>#N/A</v>
      </c>
      <c r="L73" s="35" t="e">
        <v>#N/A</v>
      </c>
      <c r="M73" s="35" t="e">
        <v>#N/A</v>
      </c>
      <c r="N73" s="9">
        <v>0</v>
      </c>
      <c r="O73" s="53">
        <v>612.23658315042314</v>
      </c>
      <c r="P73" s="53">
        <v>612.23658315042314</v>
      </c>
      <c r="Q73" s="53">
        <v>0</v>
      </c>
      <c r="R73" s="53">
        <v>612.23658315042314</v>
      </c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</row>
    <row r="74" spans="1:80" x14ac:dyDescent="0.25">
      <c r="A74" s="61"/>
      <c r="B74" s="35">
        <v>63</v>
      </c>
      <c r="C74" s="8"/>
      <c r="D74" s="8"/>
      <c r="E74" s="8"/>
      <c r="F74" s="7"/>
      <c r="G74" s="49"/>
      <c r="H74" s="5"/>
      <c r="I74" s="10">
        <v>0</v>
      </c>
      <c r="J74" s="49" t="e">
        <v>#N/A</v>
      </c>
      <c r="K74" s="35" t="e">
        <v>#N/A</v>
      </c>
      <c r="L74" s="35" t="e">
        <v>#N/A</v>
      </c>
      <c r="M74" s="35" t="e">
        <v>#N/A</v>
      </c>
      <c r="N74" s="9">
        <v>0</v>
      </c>
      <c r="O74" s="53">
        <v>612.23658315042314</v>
      </c>
      <c r="P74" s="53">
        <v>612.23658315042314</v>
      </c>
      <c r="Q74" s="53">
        <v>0</v>
      </c>
      <c r="R74" s="53">
        <v>612.23658315042314</v>
      </c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</row>
    <row r="75" spans="1:80" x14ac:dyDescent="0.25">
      <c r="A75" s="61"/>
      <c r="B75" s="35">
        <v>64</v>
      </c>
      <c r="C75" s="8"/>
      <c r="D75" s="8"/>
      <c r="E75" s="8"/>
      <c r="F75" s="7"/>
      <c r="G75" s="49"/>
      <c r="H75" s="5"/>
      <c r="I75" s="10">
        <v>0</v>
      </c>
      <c r="J75" s="49" t="e">
        <v>#N/A</v>
      </c>
      <c r="K75" s="35" t="e">
        <v>#N/A</v>
      </c>
      <c r="L75" s="35" t="e">
        <v>#N/A</v>
      </c>
      <c r="M75" s="35" t="e">
        <v>#N/A</v>
      </c>
      <c r="N75" s="9">
        <v>0</v>
      </c>
      <c r="O75" s="53">
        <v>612.23658315042314</v>
      </c>
      <c r="P75" s="53">
        <v>612.23658315042314</v>
      </c>
      <c r="Q75" s="53">
        <v>0</v>
      </c>
      <c r="R75" s="53">
        <v>612.23658315042314</v>
      </c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</row>
    <row r="76" spans="1:80" x14ac:dyDescent="0.25">
      <c r="A76" s="61"/>
      <c r="B76" s="35">
        <v>65</v>
      </c>
      <c r="C76" s="8"/>
      <c r="D76" s="8"/>
      <c r="E76" s="8"/>
      <c r="F76" s="7"/>
      <c r="G76" s="49"/>
      <c r="H76" s="5"/>
      <c r="I76" s="10">
        <v>0</v>
      </c>
      <c r="J76" s="49" t="e">
        <v>#N/A</v>
      </c>
      <c r="K76" s="35" t="e">
        <v>#N/A</v>
      </c>
      <c r="L76" s="35" t="e">
        <v>#N/A</v>
      </c>
      <c r="M76" s="35" t="e">
        <v>#N/A</v>
      </c>
      <c r="N76" s="9">
        <v>0</v>
      </c>
      <c r="O76" s="53">
        <v>612.23658315042314</v>
      </c>
      <c r="P76" s="53">
        <v>612.23658315042314</v>
      </c>
      <c r="Q76" s="53">
        <v>0</v>
      </c>
      <c r="R76" s="53">
        <v>612.23658315042314</v>
      </c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</row>
    <row r="77" spans="1:80" x14ac:dyDescent="0.25">
      <c r="A77" s="61"/>
      <c r="B77" s="35">
        <v>66</v>
      </c>
      <c r="C77" s="8"/>
      <c r="D77" s="8"/>
      <c r="E77" s="8"/>
      <c r="F77" s="7"/>
      <c r="G77" s="49"/>
      <c r="H77" s="5"/>
      <c r="I77" s="10">
        <v>0</v>
      </c>
      <c r="J77" s="49" t="e">
        <v>#N/A</v>
      </c>
      <c r="K77" s="35" t="e">
        <v>#N/A</v>
      </c>
      <c r="L77" s="35" t="e">
        <v>#N/A</v>
      </c>
      <c r="M77" s="35" t="e">
        <v>#N/A</v>
      </c>
      <c r="N77" s="9">
        <v>0</v>
      </c>
      <c r="O77" s="53">
        <v>612.23658315042314</v>
      </c>
      <c r="P77" s="53">
        <v>612.23658315042314</v>
      </c>
      <c r="Q77" s="53">
        <v>0</v>
      </c>
      <c r="R77" s="53">
        <v>612.23658315042314</v>
      </c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</row>
    <row r="78" spans="1:80" x14ac:dyDescent="0.25">
      <c r="A78" s="61"/>
      <c r="B78" s="35">
        <v>67</v>
      </c>
      <c r="C78" s="8"/>
      <c r="D78" s="8"/>
      <c r="E78" s="8"/>
      <c r="F78" s="7"/>
      <c r="G78" s="49"/>
      <c r="H78" s="5"/>
      <c r="I78" s="10">
        <v>0</v>
      </c>
      <c r="J78" s="49" t="e">
        <v>#N/A</v>
      </c>
      <c r="K78" s="35" t="e">
        <v>#N/A</v>
      </c>
      <c r="L78" s="35" t="e">
        <v>#N/A</v>
      </c>
      <c r="M78" s="35" t="e">
        <v>#N/A</v>
      </c>
      <c r="N78" s="9">
        <v>0</v>
      </c>
      <c r="O78" s="53">
        <v>612.23658315042314</v>
      </c>
      <c r="P78" s="53">
        <v>612.23658315042314</v>
      </c>
      <c r="Q78" s="53">
        <v>0</v>
      </c>
      <c r="R78" s="53">
        <v>612.23658315042314</v>
      </c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</row>
    <row r="79" spans="1:80" x14ac:dyDescent="0.25">
      <c r="A79" s="61"/>
      <c r="B79" s="35">
        <v>68</v>
      </c>
      <c r="C79" s="8"/>
      <c r="D79" s="8"/>
      <c r="E79" s="8"/>
      <c r="F79" s="7"/>
      <c r="G79" s="49"/>
      <c r="H79" s="5"/>
      <c r="I79" s="10">
        <v>0</v>
      </c>
      <c r="J79" s="49" t="e">
        <v>#N/A</v>
      </c>
      <c r="K79" s="35" t="e">
        <v>#N/A</v>
      </c>
      <c r="L79" s="35" t="e">
        <v>#N/A</v>
      </c>
      <c r="M79" s="35" t="e">
        <v>#N/A</v>
      </c>
      <c r="N79" s="9">
        <v>0</v>
      </c>
      <c r="O79" s="53">
        <v>612.23658315042314</v>
      </c>
      <c r="P79" s="53">
        <v>612.23658315042314</v>
      </c>
      <c r="Q79" s="53">
        <v>0</v>
      </c>
      <c r="R79" s="53">
        <v>612.23658315042314</v>
      </c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</row>
    <row r="80" spans="1:80" x14ac:dyDescent="0.25">
      <c r="A80" s="61"/>
      <c r="B80" s="35">
        <v>69</v>
      </c>
      <c r="C80" s="8"/>
      <c r="D80" s="8"/>
      <c r="E80" s="8"/>
      <c r="F80" s="7"/>
      <c r="G80" s="49"/>
      <c r="H80" s="5"/>
      <c r="I80" s="10">
        <v>0</v>
      </c>
      <c r="J80" s="49" t="e">
        <v>#N/A</v>
      </c>
      <c r="K80" s="35" t="e">
        <v>#N/A</v>
      </c>
      <c r="L80" s="35" t="e">
        <v>#N/A</v>
      </c>
      <c r="M80" s="35" t="e">
        <v>#N/A</v>
      </c>
      <c r="N80" s="9">
        <v>0</v>
      </c>
      <c r="O80" s="53">
        <v>612.23658315042314</v>
      </c>
      <c r="P80" s="53">
        <v>612.23658315042314</v>
      </c>
      <c r="Q80" s="53">
        <v>0</v>
      </c>
      <c r="R80" s="53">
        <v>612.23658315042314</v>
      </c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</row>
    <row r="81" spans="1:80" x14ac:dyDescent="0.25">
      <c r="A81" s="61"/>
      <c r="B81" s="35">
        <v>70</v>
      </c>
      <c r="C81" s="8"/>
      <c r="D81" s="8"/>
      <c r="E81" s="8"/>
      <c r="F81" s="7"/>
      <c r="G81" s="49"/>
      <c r="H81" s="5"/>
      <c r="I81" s="10">
        <v>0</v>
      </c>
      <c r="J81" s="49" t="e">
        <v>#N/A</v>
      </c>
      <c r="K81" s="35" t="e">
        <v>#N/A</v>
      </c>
      <c r="L81" s="35" t="e">
        <v>#N/A</v>
      </c>
      <c r="M81" s="35" t="e">
        <v>#N/A</v>
      </c>
      <c r="N81" s="9">
        <v>0</v>
      </c>
      <c r="O81" s="53">
        <v>612.23658315042314</v>
      </c>
      <c r="P81" s="53">
        <v>612.23658315042314</v>
      </c>
      <c r="Q81" s="53">
        <v>0</v>
      </c>
      <c r="R81" s="53">
        <v>612.23658315042314</v>
      </c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</row>
    <row r="82" spans="1:80" x14ac:dyDescent="0.25">
      <c r="A82" s="61"/>
      <c r="B82" s="35">
        <v>71</v>
      </c>
      <c r="C82" s="8"/>
      <c r="D82" s="8"/>
      <c r="E82" s="8"/>
      <c r="F82" s="7"/>
      <c r="G82" s="49"/>
      <c r="H82" s="5"/>
      <c r="I82" s="10">
        <v>0</v>
      </c>
      <c r="J82" s="49" t="e">
        <v>#N/A</v>
      </c>
      <c r="K82" s="35" t="e">
        <v>#N/A</v>
      </c>
      <c r="L82" s="35" t="e">
        <v>#N/A</v>
      </c>
      <c r="M82" s="35" t="e">
        <v>#N/A</v>
      </c>
      <c r="N82" s="9">
        <v>0</v>
      </c>
      <c r="O82" s="53">
        <v>612.23658315042314</v>
      </c>
      <c r="P82" s="53">
        <v>612.23658315042314</v>
      </c>
      <c r="Q82" s="53">
        <v>0</v>
      </c>
      <c r="R82" s="53">
        <v>612.23658315042314</v>
      </c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</row>
    <row r="83" spans="1:80" x14ac:dyDescent="0.25">
      <c r="A83" s="61"/>
      <c r="B83" s="35">
        <v>72</v>
      </c>
      <c r="C83" s="8"/>
      <c r="D83" s="8"/>
      <c r="E83" s="8"/>
      <c r="F83" s="7"/>
      <c r="G83" s="49"/>
      <c r="H83" s="5"/>
      <c r="I83" s="10">
        <v>0</v>
      </c>
      <c r="J83" s="49" t="e">
        <v>#N/A</v>
      </c>
      <c r="K83" s="35" t="e">
        <v>#N/A</v>
      </c>
      <c r="L83" s="35" t="e">
        <v>#N/A</v>
      </c>
      <c r="M83" s="35" t="e">
        <v>#N/A</v>
      </c>
      <c r="N83" s="9">
        <v>0</v>
      </c>
      <c r="O83" s="53">
        <v>612.23658315042314</v>
      </c>
      <c r="P83" s="53">
        <v>612.23658315042314</v>
      </c>
      <c r="Q83" s="53">
        <v>0</v>
      </c>
      <c r="R83" s="53">
        <v>612.23658315042314</v>
      </c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</row>
    <row r="84" spans="1:80" x14ac:dyDescent="0.25">
      <c r="A84" s="61"/>
      <c r="B84" s="35">
        <v>73</v>
      </c>
      <c r="C84" s="8"/>
      <c r="D84" s="8"/>
      <c r="E84" s="8"/>
      <c r="F84" s="7"/>
      <c r="G84" s="49"/>
      <c r="H84" s="5"/>
      <c r="I84" s="10">
        <v>0</v>
      </c>
      <c r="J84" s="49" t="e">
        <v>#N/A</v>
      </c>
      <c r="K84" s="35" t="e">
        <v>#N/A</v>
      </c>
      <c r="L84" s="35" t="e">
        <v>#N/A</v>
      </c>
      <c r="M84" s="35" t="e">
        <v>#N/A</v>
      </c>
      <c r="N84" s="9">
        <v>0</v>
      </c>
      <c r="O84" s="53">
        <v>612.23658315042314</v>
      </c>
      <c r="P84" s="53">
        <v>612.23658315042314</v>
      </c>
      <c r="Q84" s="53">
        <v>0</v>
      </c>
      <c r="R84" s="53">
        <v>612.23658315042314</v>
      </c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</row>
    <row r="85" spans="1:80" x14ac:dyDescent="0.25">
      <c r="A85" s="61"/>
      <c r="B85" s="35">
        <v>74</v>
      </c>
      <c r="C85" s="8"/>
      <c r="D85" s="8"/>
      <c r="E85" s="8"/>
      <c r="F85" s="7"/>
      <c r="G85" s="49"/>
      <c r="H85" s="5"/>
      <c r="I85" s="10">
        <v>0</v>
      </c>
      <c r="J85" s="49" t="e">
        <v>#N/A</v>
      </c>
      <c r="K85" s="35" t="e">
        <v>#N/A</v>
      </c>
      <c r="L85" s="35" t="e">
        <v>#N/A</v>
      </c>
      <c r="M85" s="35" t="e">
        <v>#N/A</v>
      </c>
      <c r="N85" s="9">
        <v>0</v>
      </c>
      <c r="O85" s="53">
        <v>612.23658315042314</v>
      </c>
      <c r="P85" s="53">
        <v>612.23658315042314</v>
      </c>
      <c r="Q85" s="53">
        <v>0</v>
      </c>
      <c r="R85" s="53">
        <v>612.23658315042314</v>
      </c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</row>
    <row r="86" spans="1:80" x14ac:dyDescent="0.25">
      <c r="A86" s="61"/>
      <c r="B86" s="35">
        <v>75</v>
      </c>
      <c r="C86" s="8"/>
      <c r="D86" s="8"/>
      <c r="E86" s="8"/>
      <c r="F86" s="7"/>
      <c r="G86" s="49"/>
      <c r="H86" s="5"/>
      <c r="I86" s="10">
        <v>0</v>
      </c>
      <c r="J86" s="49" t="e">
        <v>#N/A</v>
      </c>
      <c r="K86" s="35" t="e">
        <v>#N/A</v>
      </c>
      <c r="L86" s="35" t="e">
        <v>#N/A</v>
      </c>
      <c r="M86" s="35" t="e">
        <v>#N/A</v>
      </c>
      <c r="N86" s="9">
        <v>0</v>
      </c>
      <c r="O86" s="53">
        <v>612.23658315042314</v>
      </c>
      <c r="P86" s="53">
        <v>612.23658315042314</v>
      </c>
      <c r="Q86" s="53">
        <v>0</v>
      </c>
      <c r="R86" s="53">
        <v>612.23658315042314</v>
      </c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</row>
    <row r="87" spans="1:80" x14ac:dyDescent="0.25">
      <c r="A87" s="61"/>
      <c r="B87" s="35">
        <v>76</v>
      </c>
      <c r="C87" s="8"/>
      <c r="D87" s="8"/>
      <c r="E87" s="8"/>
      <c r="F87" s="7"/>
      <c r="G87" s="49"/>
      <c r="H87" s="5"/>
      <c r="I87" s="10">
        <v>0</v>
      </c>
      <c r="J87" s="49" t="e">
        <v>#N/A</v>
      </c>
      <c r="K87" s="35" t="e">
        <v>#N/A</v>
      </c>
      <c r="L87" s="35" t="e">
        <v>#N/A</v>
      </c>
      <c r="M87" s="35" t="e">
        <v>#N/A</v>
      </c>
      <c r="N87" s="9">
        <v>0</v>
      </c>
      <c r="O87" s="53">
        <v>612.23658315042314</v>
      </c>
      <c r="P87" s="53">
        <v>612.23658315042314</v>
      </c>
      <c r="Q87" s="53">
        <v>0</v>
      </c>
      <c r="R87" s="53">
        <v>612.23658315042314</v>
      </c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</row>
    <row r="88" spans="1:80" x14ac:dyDescent="0.25">
      <c r="A88" s="61"/>
      <c r="B88" s="35">
        <v>77</v>
      </c>
      <c r="C88" s="8"/>
      <c r="D88" s="8"/>
      <c r="E88" s="8"/>
      <c r="F88" s="7"/>
      <c r="G88" s="49"/>
      <c r="H88" s="5"/>
      <c r="I88" s="10">
        <v>0</v>
      </c>
      <c r="J88" s="49" t="e">
        <v>#N/A</v>
      </c>
      <c r="K88" s="35" t="e">
        <v>#N/A</v>
      </c>
      <c r="L88" s="35" t="e">
        <v>#N/A</v>
      </c>
      <c r="M88" s="35" t="e">
        <v>#N/A</v>
      </c>
      <c r="N88" s="9">
        <v>0</v>
      </c>
      <c r="O88" s="53">
        <v>612.23658315042314</v>
      </c>
      <c r="P88" s="53">
        <v>612.23658315042314</v>
      </c>
      <c r="Q88" s="53">
        <v>0</v>
      </c>
      <c r="R88" s="53">
        <v>612.23658315042314</v>
      </c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</row>
    <row r="89" spans="1:80" x14ac:dyDescent="0.25">
      <c r="A89" s="61"/>
      <c r="B89" s="35">
        <v>78</v>
      </c>
      <c r="C89" s="8"/>
      <c r="D89" s="8"/>
      <c r="E89" s="8"/>
      <c r="F89" s="7"/>
      <c r="G89" s="49"/>
      <c r="H89" s="5"/>
      <c r="I89" s="10">
        <v>0</v>
      </c>
      <c r="J89" s="49" t="e">
        <v>#N/A</v>
      </c>
      <c r="K89" s="35" t="e">
        <v>#N/A</v>
      </c>
      <c r="L89" s="35" t="e">
        <v>#N/A</v>
      </c>
      <c r="M89" s="35" t="e">
        <v>#N/A</v>
      </c>
      <c r="N89" s="9">
        <v>0</v>
      </c>
      <c r="O89" s="53">
        <v>612.23658315042314</v>
      </c>
      <c r="P89" s="53">
        <v>612.23658315042314</v>
      </c>
      <c r="Q89" s="53">
        <v>0</v>
      </c>
      <c r="R89" s="53">
        <v>612.23658315042314</v>
      </c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</row>
    <row r="90" spans="1:80" x14ac:dyDescent="0.25">
      <c r="B90" s="35">
        <v>79</v>
      </c>
      <c r="C90" s="8"/>
      <c r="D90" s="8"/>
      <c r="E90" s="8"/>
      <c r="F90" s="7"/>
      <c r="G90" s="49"/>
      <c r="H90" s="5"/>
      <c r="I90" s="10">
        <v>0</v>
      </c>
      <c r="J90" s="49" t="e">
        <v>#N/A</v>
      </c>
      <c r="K90" s="35" t="e">
        <v>#N/A</v>
      </c>
      <c r="L90" s="35" t="e">
        <v>#N/A</v>
      </c>
      <c r="M90" s="35" t="e">
        <v>#N/A</v>
      </c>
      <c r="N90" s="9">
        <v>0</v>
      </c>
      <c r="O90" s="53">
        <v>612.23658315042314</v>
      </c>
      <c r="P90" s="53">
        <v>612.23658315042314</v>
      </c>
      <c r="Q90" s="53">
        <v>0</v>
      </c>
      <c r="R90" s="53">
        <v>612.23658315042314</v>
      </c>
    </row>
    <row r="91" spans="1:80" x14ac:dyDescent="0.25">
      <c r="B91" s="35">
        <v>80</v>
      </c>
      <c r="C91" s="8"/>
      <c r="D91" s="8"/>
      <c r="E91" s="8"/>
      <c r="F91" s="7"/>
      <c r="G91" s="49"/>
      <c r="H91" s="5"/>
      <c r="I91" s="10">
        <v>0</v>
      </c>
      <c r="J91" s="49" t="e">
        <v>#N/A</v>
      </c>
      <c r="K91" s="35" t="e">
        <v>#N/A</v>
      </c>
      <c r="L91" s="35" t="e">
        <v>#N/A</v>
      </c>
      <c r="M91" s="35" t="e">
        <v>#N/A</v>
      </c>
      <c r="N91" s="9">
        <v>0</v>
      </c>
      <c r="O91" s="53">
        <v>612.23658315042314</v>
      </c>
      <c r="P91" s="53">
        <v>612.23658315042314</v>
      </c>
      <c r="Q91" s="53">
        <v>0</v>
      </c>
      <c r="R91" s="53">
        <v>612.23658315042314</v>
      </c>
    </row>
    <row r="92" spans="1:80" x14ac:dyDescent="0.25">
      <c r="B92" s="35">
        <v>81</v>
      </c>
      <c r="C92" s="8"/>
      <c r="D92" s="8"/>
      <c r="E92" s="8"/>
      <c r="F92" s="7"/>
      <c r="G92" s="49"/>
      <c r="H92" s="5"/>
      <c r="I92" s="10">
        <v>0</v>
      </c>
      <c r="J92" s="49" t="e">
        <v>#N/A</v>
      </c>
      <c r="K92" s="35" t="e">
        <v>#N/A</v>
      </c>
      <c r="L92" s="35" t="e">
        <v>#N/A</v>
      </c>
      <c r="M92" s="35" t="e">
        <v>#N/A</v>
      </c>
      <c r="N92" s="9">
        <v>0</v>
      </c>
      <c r="O92" s="53">
        <v>612.23658315042314</v>
      </c>
      <c r="P92" s="53">
        <v>612.23658315042314</v>
      </c>
      <c r="Q92" s="53">
        <v>0</v>
      </c>
      <c r="R92" s="53">
        <v>612.23658315042314</v>
      </c>
    </row>
    <row r="93" spans="1:80" x14ac:dyDescent="0.25">
      <c r="B93" s="35">
        <v>82</v>
      </c>
      <c r="C93" s="8"/>
      <c r="D93" s="8"/>
      <c r="E93" s="8"/>
      <c r="F93" s="7"/>
      <c r="G93" s="49"/>
      <c r="H93" s="5"/>
      <c r="I93" s="10">
        <v>0</v>
      </c>
      <c r="J93" s="49" t="e">
        <v>#N/A</v>
      </c>
      <c r="K93" s="35" t="e">
        <v>#N/A</v>
      </c>
      <c r="L93" s="35" t="e">
        <v>#N/A</v>
      </c>
      <c r="M93" s="35" t="e">
        <v>#N/A</v>
      </c>
      <c r="N93" s="9">
        <v>0</v>
      </c>
      <c r="O93" s="53">
        <v>612.23658315042314</v>
      </c>
      <c r="P93" s="53">
        <v>612.23658315042314</v>
      </c>
      <c r="Q93" s="53">
        <v>0</v>
      </c>
      <c r="R93" s="53">
        <v>612.23658315042314</v>
      </c>
    </row>
    <row r="94" spans="1:80" x14ac:dyDescent="0.25">
      <c r="B94" s="35">
        <v>83</v>
      </c>
      <c r="C94" s="8"/>
      <c r="D94" s="8"/>
      <c r="E94" s="8"/>
      <c r="F94" s="7"/>
      <c r="G94" s="49"/>
      <c r="H94" s="5"/>
      <c r="I94" s="10">
        <v>0</v>
      </c>
      <c r="J94" s="49" t="e">
        <v>#N/A</v>
      </c>
      <c r="K94" s="35" t="e">
        <v>#N/A</v>
      </c>
      <c r="L94" s="35" t="e">
        <v>#N/A</v>
      </c>
      <c r="M94" s="35" t="e">
        <v>#N/A</v>
      </c>
      <c r="N94" s="9">
        <v>0</v>
      </c>
      <c r="O94" s="53">
        <v>612.23658315042314</v>
      </c>
      <c r="P94" s="53">
        <v>612.23658315042314</v>
      </c>
      <c r="Q94" s="53">
        <v>0</v>
      </c>
      <c r="R94" s="53">
        <v>612.23658315042314</v>
      </c>
    </row>
    <row r="95" spans="1:80" x14ac:dyDescent="0.25">
      <c r="B95" s="35">
        <v>84</v>
      </c>
      <c r="C95" s="8"/>
      <c r="D95" s="8"/>
      <c r="E95" s="8"/>
      <c r="F95" s="7"/>
      <c r="G95" s="49"/>
      <c r="H95" s="5"/>
      <c r="I95" s="10">
        <v>0</v>
      </c>
      <c r="J95" s="49" t="e">
        <v>#N/A</v>
      </c>
      <c r="K95" s="35" t="e">
        <v>#N/A</v>
      </c>
      <c r="L95" s="35" t="e">
        <v>#N/A</v>
      </c>
      <c r="M95" s="35" t="e">
        <v>#N/A</v>
      </c>
      <c r="N95" s="9">
        <v>0</v>
      </c>
      <c r="O95" s="53">
        <v>612.23658315042314</v>
      </c>
      <c r="P95" s="53">
        <v>612.23658315042314</v>
      </c>
      <c r="Q95" s="53">
        <v>0</v>
      </c>
      <c r="R95" s="53">
        <v>612.23658315042314</v>
      </c>
    </row>
    <row r="96" spans="1:80" x14ac:dyDescent="0.25">
      <c r="B96" s="35">
        <v>85</v>
      </c>
      <c r="C96" s="8"/>
      <c r="D96" s="8"/>
      <c r="E96" s="8"/>
      <c r="F96" s="7"/>
      <c r="G96" s="49"/>
      <c r="H96" s="5"/>
      <c r="I96" s="10">
        <v>0</v>
      </c>
      <c r="J96" s="49" t="e">
        <v>#N/A</v>
      </c>
      <c r="K96" s="35" t="e">
        <v>#N/A</v>
      </c>
      <c r="L96" s="35" t="e">
        <v>#N/A</v>
      </c>
      <c r="M96" s="35" t="e">
        <v>#N/A</v>
      </c>
      <c r="N96" s="9">
        <v>0</v>
      </c>
      <c r="O96" s="53">
        <v>612.23658315042314</v>
      </c>
      <c r="P96" s="53">
        <v>612.23658315042314</v>
      </c>
      <c r="Q96" s="53">
        <v>0</v>
      </c>
      <c r="R96" s="53">
        <v>612.23658315042314</v>
      </c>
    </row>
    <row r="97" spans="2:18" x14ac:dyDescent="0.25">
      <c r="B97" s="35">
        <v>86</v>
      </c>
      <c r="C97" s="8"/>
      <c r="D97" s="8"/>
      <c r="E97" s="8"/>
      <c r="F97" s="7"/>
      <c r="G97" s="49"/>
      <c r="H97" s="5"/>
      <c r="I97" s="10">
        <v>0</v>
      </c>
      <c r="J97" s="49" t="e">
        <v>#N/A</v>
      </c>
      <c r="K97" s="35" t="e">
        <v>#N/A</v>
      </c>
      <c r="L97" s="35" t="e">
        <v>#N/A</v>
      </c>
      <c r="M97" s="35" t="e">
        <v>#N/A</v>
      </c>
      <c r="N97" s="9">
        <v>0</v>
      </c>
      <c r="O97" s="53">
        <v>612.23658315042314</v>
      </c>
      <c r="P97" s="53">
        <v>612.23658315042314</v>
      </c>
      <c r="Q97" s="53">
        <v>0</v>
      </c>
      <c r="R97" s="53">
        <v>612.23658315042314</v>
      </c>
    </row>
    <row r="98" spans="2:18" x14ac:dyDescent="0.25">
      <c r="B98" s="35">
        <v>87</v>
      </c>
      <c r="C98" s="8"/>
      <c r="D98" s="8"/>
      <c r="E98" s="8"/>
      <c r="F98" s="7"/>
      <c r="G98" s="49"/>
      <c r="H98" s="5"/>
      <c r="I98" s="10">
        <v>0</v>
      </c>
      <c r="J98" s="49" t="e">
        <v>#N/A</v>
      </c>
      <c r="K98" s="35" t="e">
        <v>#N/A</v>
      </c>
      <c r="L98" s="35" t="e">
        <v>#N/A</v>
      </c>
      <c r="M98" s="35" t="e">
        <v>#N/A</v>
      </c>
      <c r="N98" s="9">
        <v>0</v>
      </c>
      <c r="O98" s="53">
        <v>612.23658315042314</v>
      </c>
      <c r="P98" s="53">
        <v>612.23658315042314</v>
      </c>
      <c r="Q98" s="53">
        <v>0</v>
      </c>
      <c r="R98" s="53">
        <v>612.23658315042314</v>
      </c>
    </row>
    <row r="99" spans="2:18" x14ac:dyDescent="0.25">
      <c r="B99" s="35">
        <v>88</v>
      </c>
      <c r="C99" s="8"/>
      <c r="D99" s="8"/>
      <c r="E99" s="8"/>
      <c r="F99" s="7"/>
      <c r="G99" s="49"/>
      <c r="H99" s="5"/>
      <c r="I99" s="10">
        <v>0</v>
      </c>
      <c r="J99" s="49" t="e">
        <v>#N/A</v>
      </c>
      <c r="K99" s="35" t="e">
        <v>#N/A</v>
      </c>
      <c r="L99" s="35" t="e">
        <v>#N/A</v>
      </c>
      <c r="M99" s="35" t="e">
        <v>#N/A</v>
      </c>
      <c r="N99" s="9">
        <v>0</v>
      </c>
      <c r="O99" s="53">
        <v>612.23658315042314</v>
      </c>
      <c r="P99" s="53">
        <v>612.23658315042314</v>
      </c>
      <c r="Q99" s="53">
        <v>0</v>
      </c>
      <c r="R99" s="53">
        <v>612.23658315042314</v>
      </c>
    </row>
    <row r="100" spans="2:18" x14ac:dyDescent="0.25">
      <c r="B100" s="35">
        <v>89</v>
      </c>
      <c r="C100" s="8"/>
      <c r="D100" s="8"/>
      <c r="E100" s="8"/>
      <c r="F100" s="7"/>
      <c r="G100" s="49"/>
      <c r="H100" s="5"/>
      <c r="I100" s="10">
        <v>0</v>
      </c>
      <c r="J100" s="49" t="e">
        <v>#N/A</v>
      </c>
      <c r="K100" s="35" t="e">
        <v>#N/A</v>
      </c>
      <c r="L100" s="35" t="e">
        <v>#N/A</v>
      </c>
      <c r="M100" s="35" t="e">
        <v>#N/A</v>
      </c>
      <c r="N100" s="9">
        <v>0</v>
      </c>
      <c r="O100" s="53">
        <v>612.23658315042314</v>
      </c>
      <c r="P100" s="53">
        <v>612.23658315042314</v>
      </c>
      <c r="Q100" s="53">
        <v>0</v>
      </c>
      <c r="R100" s="53">
        <v>612.23658315042314</v>
      </c>
    </row>
    <row r="101" spans="2:18" x14ac:dyDescent="0.25">
      <c r="B101" s="35">
        <v>90</v>
      </c>
      <c r="C101" s="8"/>
      <c r="D101" s="8"/>
      <c r="E101" s="8"/>
      <c r="F101" s="7"/>
      <c r="G101" s="49"/>
      <c r="H101" s="5"/>
      <c r="I101" s="10">
        <v>0</v>
      </c>
      <c r="J101" s="49" t="e">
        <v>#N/A</v>
      </c>
      <c r="K101" s="35" t="e">
        <v>#N/A</v>
      </c>
      <c r="L101" s="35" t="e">
        <v>#N/A</v>
      </c>
      <c r="M101" s="35" t="e">
        <v>#N/A</v>
      </c>
      <c r="N101" s="9">
        <v>0</v>
      </c>
      <c r="O101" s="53">
        <v>612.23658315042314</v>
      </c>
      <c r="P101" s="53">
        <v>612.23658315042314</v>
      </c>
      <c r="Q101" s="53">
        <v>0</v>
      </c>
      <c r="R101" s="53">
        <v>612.23658315042314</v>
      </c>
    </row>
    <row r="102" spans="2:18" x14ac:dyDescent="0.25">
      <c r="B102" s="35">
        <v>91</v>
      </c>
      <c r="C102" s="8"/>
      <c r="D102" s="8"/>
      <c r="E102" s="8"/>
      <c r="F102" s="7"/>
      <c r="G102" s="49"/>
      <c r="H102" s="5"/>
      <c r="I102" s="10">
        <v>0</v>
      </c>
      <c r="J102" s="49" t="e">
        <v>#N/A</v>
      </c>
      <c r="K102" s="35" t="e">
        <v>#N/A</v>
      </c>
      <c r="L102" s="35" t="e">
        <v>#N/A</v>
      </c>
      <c r="M102" s="35" t="e">
        <v>#N/A</v>
      </c>
      <c r="N102" s="9">
        <v>0</v>
      </c>
      <c r="O102" s="53">
        <v>612.23658315042314</v>
      </c>
      <c r="P102" s="53">
        <v>612.23658315042314</v>
      </c>
      <c r="Q102" s="53">
        <v>0</v>
      </c>
      <c r="R102" s="53">
        <v>612.23658315042314</v>
      </c>
    </row>
    <row r="103" spans="2:18" x14ac:dyDescent="0.25">
      <c r="B103" s="35">
        <v>92</v>
      </c>
      <c r="C103" s="8"/>
      <c r="D103" s="8"/>
      <c r="E103" s="8"/>
      <c r="F103" s="7"/>
      <c r="G103" s="49"/>
      <c r="H103" s="5"/>
      <c r="I103" s="10">
        <v>0</v>
      </c>
      <c r="J103" s="49" t="e">
        <v>#N/A</v>
      </c>
      <c r="K103" s="35" t="e">
        <v>#N/A</v>
      </c>
      <c r="L103" s="35" t="e">
        <v>#N/A</v>
      </c>
      <c r="M103" s="35" t="e">
        <v>#N/A</v>
      </c>
      <c r="N103" s="9">
        <v>0</v>
      </c>
      <c r="O103" s="53">
        <v>612.23658315042314</v>
      </c>
      <c r="P103" s="53">
        <v>612.23658315042314</v>
      </c>
      <c r="Q103" s="53">
        <v>0</v>
      </c>
      <c r="R103" s="53">
        <v>612.23658315042314</v>
      </c>
    </row>
    <row r="104" spans="2:18" x14ac:dyDescent="0.25">
      <c r="B104" s="35">
        <v>93</v>
      </c>
      <c r="C104" s="8"/>
      <c r="D104" s="8"/>
      <c r="E104" s="8"/>
      <c r="F104" s="7"/>
      <c r="G104" s="49"/>
      <c r="H104" s="5"/>
      <c r="I104" s="10">
        <v>0</v>
      </c>
      <c r="J104" s="49" t="e">
        <v>#N/A</v>
      </c>
      <c r="K104" s="35" t="e">
        <v>#N/A</v>
      </c>
      <c r="L104" s="35" t="e">
        <v>#N/A</v>
      </c>
      <c r="M104" s="35" t="e">
        <v>#N/A</v>
      </c>
      <c r="N104" s="9">
        <v>0</v>
      </c>
      <c r="O104" s="53">
        <v>612.23658315042314</v>
      </c>
      <c r="P104" s="53">
        <v>612.23658315042314</v>
      </c>
      <c r="Q104" s="53">
        <v>0</v>
      </c>
      <c r="R104" s="53">
        <v>612.23658315042314</v>
      </c>
    </row>
    <row r="105" spans="2:18" x14ac:dyDescent="0.25">
      <c r="B105" s="35">
        <v>94</v>
      </c>
      <c r="C105" s="8"/>
      <c r="D105" s="8"/>
      <c r="E105" s="8"/>
      <c r="F105" s="7"/>
      <c r="G105" s="49"/>
      <c r="H105" s="5"/>
      <c r="I105" s="10">
        <v>0</v>
      </c>
      <c r="J105" s="49" t="e">
        <v>#N/A</v>
      </c>
      <c r="K105" s="35" t="e">
        <v>#N/A</v>
      </c>
      <c r="L105" s="35" t="e">
        <v>#N/A</v>
      </c>
      <c r="M105" s="35" t="e">
        <v>#N/A</v>
      </c>
      <c r="N105" s="9">
        <v>0</v>
      </c>
      <c r="O105" s="53">
        <v>612.23658315042314</v>
      </c>
      <c r="P105" s="53">
        <v>612.23658315042314</v>
      </c>
      <c r="Q105" s="53">
        <v>0</v>
      </c>
      <c r="R105" s="53">
        <v>612.23658315042314</v>
      </c>
    </row>
    <row r="106" spans="2:18" x14ac:dyDescent="0.25">
      <c r="B106" s="35">
        <v>95</v>
      </c>
      <c r="C106" s="8"/>
      <c r="D106" s="8"/>
      <c r="E106" s="8"/>
      <c r="F106" s="7"/>
      <c r="G106" s="49"/>
      <c r="H106" s="5"/>
      <c r="I106" s="10">
        <v>0</v>
      </c>
      <c r="J106" s="49" t="e">
        <v>#N/A</v>
      </c>
      <c r="K106" s="35" t="e">
        <v>#N/A</v>
      </c>
      <c r="L106" s="35" t="e">
        <v>#N/A</v>
      </c>
      <c r="M106" s="35" t="e">
        <v>#N/A</v>
      </c>
      <c r="N106" s="9">
        <v>0</v>
      </c>
      <c r="O106" s="53">
        <v>612.23658315042314</v>
      </c>
      <c r="P106" s="53">
        <v>612.23658315042314</v>
      </c>
      <c r="Q106" s="53">
        <v>0</v>
      </c>
      <c r="R106" s="53">
        <v>612.23658315042314</v>
      </c>
    </row>
    <row r="107" spans="2:18" x14ac:dyDescent="0.25">
      <c r="B107" s="35">
        <v>96</v>
      </c>
      <c r="C107" s="8"/>
      <c r="D107" s="8"/>
      <c r="E107" s="8"/>
      <c r="F107" s="7"/>
      <c r="G107" s="49"/>
      <c r="H107" s="5"/>
      <c r="I107" s="10">
        <v>0</v>
      </c>
      <c r="J107" s="49" t="e">
        <v>#N/A</v>
      </c>
      <c r="K107" s="35" t="e">
        <v>#N/A</v>
      </c>
      <c r="L107" s="35" t="e">
        <v>#N/A</v>
      </c>
      <c r="M107" s="35" t="e">
        <v>#N/A</v>
      </c>
      <c r="N107" s="9">
        <v>0</v>
      </c>
      <c r="O107" s="53">
        <v>612.23658315042314</v>
      </c>
      <c r="P107" s="53">
        <v>612.23658315042314</v>
      </c>
      <c r="Q107" s="53">
        <v>0</v>
      </c>
      <c r="R107" s="53">
        <v>612.23658315042314</v>
      </c>
    </row>
    <row r="108" spans="2:18" x14ac:dyDescent="0.25">
      <c r="B108" s="35">
        <v>97</v>
      </c>
      <c r="C108" s="8"/>
      <c r="D108" s="8"/>
      <c r="E108" s="8"/>
      <c r="F108" s="7"/>
      <c r="G108" s="49"/>
      <c r="H108" s="5"/>
      <c r="I108" s="10">
        <v>0</v>
      </c>
      <c r="J108" s="49" t="e">
        <v>#N/A</v>
      </c>
      <c r="K108" s="35" t="e">
        <v>#N/A</v>
      </c>
      <c r="L108" s="35" t="e">
        <v>#N/A</v>
      </c>
      <c r="M108" s="35" t="e">
        <v>#N/A</v>
      </c>
      <c r="N108" s="9">
        <v>0</v>
      </c>
      <c r="O108" s="53">
        <v>612.23658315042314</v>
      </c>
      <c r="P108" s="53">
        <v>612.23658315042314</v>
      </c>
      <c r="Q108" s="53">
        <v>0</v>
      </c>
      <c r="R108" s="53">
        <v>612.23658315042314</v>
      </c>
    </row>
    <row r="109" spans="2:18" x14ac:dyDescent="0.25">
      <c r="B109" s="35">
        <v>98</v>
      </c>
      <c r="C109" s="8"/>
      <c r="D109" s="8"/>
      <c r="E109" s="8"/>
      <c r="F109" s="7"/>
      <c r="G109" s="49"/>
      <c r="H109" s="5"/>
      <c r="I109" s="10">
        <v>0</v>
      </c>
      <c r="J109" s="49" t="e">
        <v>#N/A</v>
      </c>
      <c r="K109" s="35" t="e">
        <v>#N/A</v>
      </c>
      <c r="L109" s="35" t="e">
        <v>#N/A</v>
      </c>
      <c r="M109" s="35" t="e">
        <v>#N/A</v>
      </c>
      <c r="N109" s="9">
        <v>0</v>
      </c>
      <c r="O109" s="53">
        <v>612.23658315042314</v>
      </c>
      <c r="P109" s="53">
        <v>612.23658315042314</v>
      </c>
      <c r="Q109" s="53">
        <v>0</v>
      </c>
      <c r="R109" s="53">
        <v>612.23658315042314</v>
      </c>
    </row>
    <row r="110" spans="2:18" x14ac:dyDescent="0.25">
      <c r="B110" s="35">
        <v>99</v>
      </c>
      <c r="C110" s="8"/>
      <c r="D110" s="8"/>
      <c r="E110" s="8"/>
      <c r="F110" s="7"/>
      <c r="G110" s="49"/>
      <c r="H110" s="5"/>
      <c r="I110" s="10">
        <v>0</v>
      </c>
      <c r="J110" s="49" t="e">
        <v>#N/A</v>
      </c>
      <c r="K110" s="35" t="e">
        <v>#N/A</v>
      </c>
      <c r="L110" s="35" t="e">
        <v>#N/A</v>
      </c>
      <c r="M110" s="35" t="e">
        <v>#N/A</v>
      </c>
      <c r="N110" s="9">
        <v>0</v>
      </c>
      <c r="O110" s="53">
        <v>612.23658315042314</v>
      </c>
      <c r="P110" s="53">
        <v>612.23658315042314</v>
      </c>
      <c r="Q110" s="53">
        <v>0</v>
      </c>
      <c r="R110" s="53">
        <v>612.23658315042314</v>
      </c>
    </row>
    <row r="111" spans="2:18" x14ac:dyDescent="0.25">
      <c r="B111" s="35">
        <v>100</v>
      </c>
      <c r="C111" s="8"/>
      <c r="D111" s="8"/>
      <c r="E111" s="8"/>
      <c r="F111" s="7"/>
      <c r="G111" s="49"/>
      <c r="H111" s="5"/>
      <c r="I111" s="10">
        <v>0</v>
      </c>
      <c r="J111" s="49" t="e">
        <v>#N/A</v>
      </c>
      <c r="K111" s="35" t="e">
        <v>#N/A</v>
      </c>
      <c r="L111" s="35" t="e">
        <v>#N/A</v>
      </c>
      <c r="M111" s="35" t="e">
        <v>#N/A</v>
      </c>
      <c r="N111" s="9">
        <v>0</v>
      </c>
      <c r="O111" s="53">
        <v>612.23658315042314</v>
      </c>
      <c r="P111" s="53">
        <v>612.23658315042314</v>
      </c>
      <c r="Q111" s="53">
        <v>0</v>
      </c>
      <c r="R111" s="53">
        <v>612.23658315042314</v>
      </c>
    </row>
    <row r="112" spans="2:18" x14ac:dyDescent="0.25">
      <c r="B112" s="35">
        <v>101</v>
      </c>
      <c r="C112" s="8"/>
      <c r="D112" s="8"/>
      <c r="E112" s="8"/>
      <c r="F112" s="7"/>
      <c r="G112" s="49"/>
      <c r="H112" s="5"/>
      <c r="I112" s="10">
        <v>0</v>
      </c>
      <c r="J112" s="49" t="e">
        <v>#N/A</v>
      </c>
      <c r="K112" s="35" t="e">
        <v>#N/A</v>
      </c>
      <c r="L112" s="35" t="e">
        <v>#N/A</v>
      </c>
      <c r="M112" s="35" t="e">
        <v>#N/A</v>
      </c>
      <c r="N112" s="9">
        <v>0</v>
      </c>
      <c r="O112" s="53">
        <v>612.23658315042314</v>
      </c>
      <c r="P112" s="53">
        <v>612.23658315042314</v>
      </c>
      <c r="Q112" s="53">
        <v>0</v>
      </c>
      <c r="R112" s="53">
        <v>612.23658315042314</v>
      </c>
    </row>
    <row r="113" spans="2:18" x14ac:dyDescent="0.25">
      <c r="B113" s="35">
        <v>102</v>
      </c>
      <c r="C113" s="8"/>
      <c r="D113" s="8"/>
      <c r="E113" s="8"/>
      <c r="F113" s="7"/>
      <c r="G113" s="49"/>
      <c r="H113" s="5"/>
      <c r="I113" s="10">
        <v>0</v>
      </c>
      <c r="J113" s="49" t="e">
        <v>#N/A</v>
      </c>
      <c r="K113" s="35" t="e">
        <v>#N/A</v>
      </c>
      <c r="L113" s="35" t="e">
        <v>#N/A</v>
      </c>
      <c r="M113" s="35" t="e">
        <v>#N/A</v>
      </c>
      <c r="N113" s="9">
        <v>0</v>
      </c>
      <c r="O113" s="53">
        <v>612.23658315042314</v>
      </c>
      <c r="P113" s="53">
        <v>612.23658315042314</v>
      </c>
      <c r="Q113" s="53">
        <v>0</v>
      </c>
      <c r="R113" s="53">
        <v>612.23658315042314</v>
      </c>
    </row>
    <row r="114" spans="2:18" x14ac:dyDescent="0.25">
      <c r="B114" s="35">
        <v>103</v>
      </c>
      <c r="C114" s="8"/>
      <c r="D114" s="8"/>
      <c r="E114" s="8"/>
      <c r="F114" s="7"/>
      <c r="G114" s="49"/>
      <c r="H114" s="5"/>
      <c r="I114" s="10">
        <v>0</v>
      </c>
      <c r="J114" s="49" t="e">
        <v>#N/A</v>
      </c>
      <c r="K114" s="35" t="e">
        <v>#N/A</v>
      </c>
      <c r="L114" s="35" t="e">
        <v>#N/A</v>
      </c>
      <c r="M114" s="35" t="e">
        <v>#N/A</v>
      </c>
      <c r="N114" s="9">
        <v>0</v>
      </c>
      <c r="O114" s="53">
        <v>612.23658315042314</v>
      </c>
      <c r="P114" s="53">
        <v>612.23658315042314</v>
      </c>
      <c r="Q114" s="53">
        <v>0</v>
      </c>
      <c r="R114" s="53">
        <v>612.23658315042314</v>
      </c>
    </row>
    <row r="115" spans="2:18" x14ac:dyDescent="0.25">
      <c r="B115" s="35">
        <v>104</v>
      </c>
      <c r="C115" s="8"/>
      <c r="D115" s="8"/>
      <c r="E115" s="8"/>
      <c r="F115" s="7"/>
      <c r="G115" s="49"/>
      <c r="H115" s="5"/>
      <c r="I115" s="10">
        <v>0</v>
      </c>
      <c r="J115" s="49" t="e">
        <v>#N/A</v>
      </c>
      <c r="K115" s="35" t="e">
        <v>#N/A</v>
      </c>
      <c r="L115" s="35" t="e">
        <v>#N/A</v>
      </c>
      <c r="M115" s="35" t="e">
        <v>#N/A</v>
      </c>
      <c r="N115" s="9">
        <v>0</v>
      </c>
      <c r="O115" s="53">
        <v>612.23658315042314</v>
      </c>
      <c r="P115" s="53">
        <v>612.23658315042314</v>
      </c>
      <c r="Q115" s="53">
        <v>0</v>
      </c>
      <c r="R115" s="53">
        <v>612.23658315042314</v>
      </c>
    </row>
    <row r="116" spans="2:18" x14ac:dyDescent="0.25">
      <c r="B116" s="35">
        <v>105</v>
      </c>
      <c r="C116" s="8"/>
      <c r="D116" s="8"/>
      <c r="E116" s="8"/>
      <c r="F116" s="7"/>
      <c r="G116" s="49"/>
      <c r="H116" s="5"/>
      <c r="I116" s="10">
        <v>0</v>
      </c>
      <c r="J116" s="49" t="e">
        <v>#N/A</v>
      </c>
      <c r="K116" s="35" t="e">
        <v>#N/A</v>
      </c>
      <c r="L116" s="35" t="e">
        <v>#N/A</v>
      </c>
      <c r="M116" s="35" t="e">
        <v>#N/A</v>
      </c>
      <c r="N116" s="9">
        <v>0</v>
      </c>
      <c r="O116" s="53">
        <v>612.23658315042314</v>
      </c>
      <c r="P116" s="53">
        <v>612.23658315042314</v>
      </c>
      <c r="Q116" s="53">
        <v>0</v>
      </c>
      <c r="R116" s="53">
        <v>612.23658315042314</v>
      </c>
    </row>
    <row r="117" spans="2:18" x14ac:dyDescent="0.25">
      <c r="B117" s="35">
        <v>106</v>
      </c>
      <c r="C117" s="8"/>
      <c r="D117" s="8"/>
      <c r="E117" s="8"/>
      <c r="F117" s="7"/>
      <c r="G117" s="49"/>
      <c r="H117" s="5"/>
      <c r="I117" s="10">
        <v>0</v>
      </c>
      <c r="J117" s="49" t="e">
        <v>#N/A</v>
      </c>
      <c r="K117" s="35" t="e">
        <v>#N/A</v>
      </c>
      <c r="L117" s="35" t="e">
        <v>#N/A</v>
      </c>
      <c r="M117" s="35" t="e">
        <v>#N/A</v>
      </c>
      <c r="N117" s="9">
        <v>0</v>
      </c>
      <c r="O117" s="53">
        <v>612.23658315042314</v>
      </c>
      <c r="P117" s="53">
        <v>612.23658315042314</v>
      </c>
      <c r="Q117" s="53">
        <v>0</v>
      </c>
      <c r="R117" s="53">
        <v>612.23658315042314</v>
      </c>
    </row>
    <row r="118" spans="2:18" x14ac:dyDescent="0.25">
      <c r="B118" s="35">
        <v>107</v>
      </c>
      <c r="C118" s="8"/>
      <c r="D118" s="8"/>
      <c r="E118" s="8"/>
      <c r="F118" s="7"/>
      <c r="G118" s="49"/>
      <c r="H118" s="5"/>
      <c r="I118" s="10">
        <v>0</v>
      </c>
      <c r="J118" s="49" t="e">
        <v>#N/A</v>
      </c>
      <c r="K118" s="35" t="e">
        <v>#N/A</v>
      </c>
      <c r="L118" s="35" t="e">
        <v>#N/A</v>
      </c>
      <c r="M118" s="35" t="e">
        <v>#N/A</v>
      </c>
      <c r="N118" s="9">
        <v>0</v>
      </c>
      <c r="O118" s="53">
        <v>612.23658315042314</v>
      </c>
      <c r="P118" s="53">
        <v>612.23658315042314</v>
      </c>
      <c r="Q118" s="53">
        <v>0</v>
      </c>
      <c r="R118" s="53">
        <v>612.23658315042314</v>
      </c>
    </row>
    <row r="119" spans="2:18" x14ac:dyDescent="0.25">
      <c r="B119" s="35">
        <v>108</v>
      </c>
      <c r="C119" s="8"/>
      <c r="D119" s="8"/>
      <c r="E119" s="8"/>
      <c r="F119" s="7"/>
      <c r="G119" s="49"/>
      <c r="H119" s="5"/>
      <c r="I119" s="10">
        <v>0</v>
      </c>
      <c r="J119" s="49" t="e">
        <v>#N/A</v>
      </c>
      <c r="K119" s="35" t="e">
        <v>#N/A</v>
      </c>
      <c r="L119" s="35" t="e">
        <v>#N/A</v>
      </c>
      <c r="M119" s="35" t="e">
        <v>#N/A</v>
      </c>
      <c r="N119" s="9">
        <v>0</v>
      </c>
      <c r="O119" s="53">
        <v>612.23658315042314</v>
      </c>
      <c r="P119" s="53">
        <v>612.23658315042314</v>
      </c>
      <c r="Q119" s="53">
        <v>0</v>
      </c>
      <c r="R119" s="53">
        <v>612.23658315042314</v>
      </c>
    </row>
    <row r="120" spans="2:18" x14ac:dyDescent="0.25">
      <c r="B120" s="35">
        <v>109</v>
      </c>
      <c r="C120" s="8"/>
      <c r="D120" s="8"/>
      <c r="E120" s="8"/>
      <c r="F120" s="7"/>
      <c r="G120" s="49"/>
      <c r="H120" s="5"/>
      <c r="I120" s="10">
        <v>0</v>
      </c>
      <c r="J120" s="49" t="e">
        <v>#N/A</v>
      </c>
      <c r="K120" s="35" t="e">
        <v>#N/A</v>
      </c>
      <c r="L120" s="35" t="e">
        <v>#N/A</v>
      </c>
      <c r="M120" s="35" t="e">
        <v>#N/A</v>
      </c>
      <c r="N120" s="9">
        <v>0</v>
      </c>
      <c r="O120" s="53">
        <v>612.23658315042314</v>
      </c>
      <c r="P120" s="53">
        <v>612.23658315042314</v>
      </c>
      <c r="Q120" s="53">
        <v>0</v>
      </c>
      <c r="R120" s="53">
        <v>612.23658315042314</v>
      </c>
    </row>
    <row r="121" spans="2:18" x14ac:dyDescent="0.25">
      <c r="B121" s="35">
        <v>110</v>
      </c>
      <c r="C121" s="8"/>
      <c r="D121" s="8"/>
      <c r="E121" s="8"/>
      <c r="F121" s="7"/>
      <c r="G121" s="49"/>
      <c r="H121" s="5"/>
      <c r="I121" s="10">
        <v>0</v>
      </c>
      <c r="J121" s="49" t="e">
        <v>#N/A</v>
      </c>
      <c r="K121" s="35" t="e">
        <v>#N/A</v>
      </c>
      <c r="L121" s="35" t="e">
        <v>#N/A</v>
      </c>
      <c r="M121" s="35" t="e">
        <v>#N/A</v>
      </c>
      <c r="N121" s="9">
        <v>0</v>
      </c>
      <c r="O121" s="53">
        <v>612.23658315042314</v>
      </c>
      <c r="P121" s="53">
        <v>612.23658315042314</v>
      </c>
      <c r="Q121" s="53">
        <v>0</v>
      </c>
      <c r="R121" s="53">
        <v>612.23658315042314</v>
      </c>
    </row>
    <row r="122" spans="2:18" x14ac:dyDescent="0.25">
      <c r="B122" s="35">
        <v>111</v>
      </c>
      <c r="C122" s="8"/>
      <c r="D122" s="8"/>
      <c r="E122" s="8"/>
      <c r="F122" s="7"/>
      <c r="G122" s="49"/>
      <c r="H122" s="5"/>
      <c r="I122" s="10">
        <v>0</v>
      </c>
      <c r="J122" s="49" t="e">
        <v>#N/A</v>
      </c>
      <c r="K122" s="35" t="e">
        <v>#N/A</v>
      </c>
      <c r="L122" s="35" t="e">
        <v>#N/A</v>
      </c>
      <c r="M122" s="35" t="e">
        <v>#N/A</v>
      </c>
      <c r="N122" s="9">
        <v>0</v>
      </c>
      <c r="O122" s="53">
        <v>612.23658315042314</v>
      </c>
      <c r="P122" s="53">
        <v>612.23658315042314</v>
      </c>
      <c r="Q122" s="53">
        <v>0</v>
      </c>
      <c r="R122" s="53">
        <v>612.23658315042314</v>
      </c>
    </row>
    <row r="123" spans="2:18" x14ac:dyDescent="0.25">
      <c r="B123" s="35">
        <v>112</v>
      </c>
      <c r="C123" s="8"/>
      <c r="D123" s="8"/>
      <c r="E123" s="8"/>
      <c r="F123" s="7"/>
      <c r="G123" s="49"/>
      <c r="H123" s="5"/>
      <c r="I123" s="10">
        <v>0</v>
      </c>
      <c r="J123" s="49" t="e">
        <v>#N/A</v>
      </c>
      <c r="K123" s="35" t="e">
        <v>#N/A</v>
      </c>
      <c r="L123" s="35" t="e">
        <v>#N/A</v>
      </c>
      <c r="M123" s="35" t="e">
        <v>#N/A</v>
      </c>
      <c r="N123" s="9">
        <v>0</v>
      </c>
      <c r="O123" s="53">
        <v>612.23658315042314</v>
      </c>
      <c r="P123" s="53">
        <v>612.23658315042314</v>
      </c>
      <c r="Q123" s="53">
        <v>0</v>
      </c>
      <c r="R123" s="53">
        <v>612.23658315042314</v>
      </c>
    </row>
    <row r="124" spans="2:18" x14ac:dyDescent="0.25">
      <c r="B124" s="35">
        <v>113</v>
      </c>
      <c r="C124" s="8"/>
      <c r="D124" s="8"/>
      <c r="E124" s="8"/>
      <c r="F124" s="7"/>
      <c r="G124" s="49"/>
      <c r="H124" s="5"/>
      <c r="I124" s="10">
        <v>0</v>
      </c>
      <c r="J124" s="49" t="e">
        <v>#N/A</v>
      </c>
      <c r="K124" s="35" t="e">
        <v>#N/A</v>
      </c>
      <c r="L124" s="35" t="e">
        <v>#N/A</v>
      </c>
      <c r="M124" s="35" t="e">
        <v>#N/A</v>
      </c>
      <c r="N124" s="9">
        <v>0</v>
      </c>
      <c r="O124" s="53">
        <v>612.23658315042314</v>
      </c>
      <c r="P124" s="53">
        <v>612.23658315042314</v>
      </c>
      <c r="Q124" s="53">
        <v>0</v>
      </c>
      <c r="R124" s="53">
        <v>612.23658315042314</v>
      </c>
    </row>
    <row r="125" spans="2:18" x14ac:dyDescent="0.25">
      <c r="B125" s="35">
        <v>114</v>
      </c>
      <c r="C125" s="8"/>
      <c r="D125" s="8"/>
      <c r="E125" s="8"/>
      <c r="F125" s="7"/>
      <c r="G125" s="49"/>
      <c r="H125" s="5"/>
      <c r="I125" s="10">
        <v>0</v>
      </c>
      <c r="J125" s="49" t="e">
        <v>#N/A</v>
      </c>
      <c r="K125" s="35" t="e">
        <v>#N/A</v>
      </c>
      <c r="L125" s="35" t="e">
        <v>#N/A</v>
      </c>
      <c r="M125" s="35" t="e">
        <v>#N/A</v>
      </c>
      <c r="N125" s="9">
        <v>0</v>
      </c>
      <c r="O125" s="53">
        <v>612.23658315042314</v>
      </c>
      <c r="P125" s="53">
        <v>612.23658315042314</v>
      </c>
      <c r="Q125" s="53">
        <v>0</v>
      </c>
      <c r="R125" s="53">
        <v>612.23658315042314</v>
      </c>
    </row>
    <row r="126" spans="2:18" x14ac:dyDescent="0.25">
      <c r="B126" s="35">
        <v>115</v>
      </c>
      <c r="C126" s="8"/>
      <c r="D126" s="8"/>
      <c r="E126" s="8"/>
      <c r="F126" s="7"/>
      <c r="G126" s="49"/>
      <c r="H126" s="5"/>
      <c r="I126" s="10">
        <v>0</v>
      </c>
      <c r="J126" s="49" t="e">
        <v>#N/A</v>
      </c>
      <c r="K126" s="35" t="e">
        <v>#N/A</v>
      </c>
      <c r="L126" s="35" t="e">
        <v>#N/A</v>
      </c>
      <c r="M126" s="35" t="e">
        <v>#N/A</v>
      </c>
      <c r="N126" s="9">
        <v>0</v>
      </c>
      <c r="O126" s="53">
        <v>612.23658315042314</v>
      </c>
      <c r="P126" s="53">
        <v>612.23658315042314</v>
      </c>
      <c r="Q126" s="53">
        <v>0</v>
      </c>
      <c r="R126" s="53">
        <v>612.23658315042314</v>
      </c>
    </row>
    <row r="127" spans="2:18" x14ac:dyDescent="0.25">
      <c r="B127" s="35">
        <v>116</v>
      </c>
      <c r="C127" s="8"/>
      <c r="D127" s="8"/>
      <c r="E127" s="8"/>
      <c r="F127" s="7"/>
      <c r="G127" s="49"/>
      <c r="H127" s="5"/>
      <c r="I127" s="10">
        <v>0</v>
      </c>
      <c r="J127" s="49" t="e">
        <v>#N/A</v>
      </c>
      <c r="K127" s="35" t="e">
        <v>#N/A</v>
      </c>
      <c r="L127" s="35" t="e">
        <v>#N/A</v>
      </c>
      <c r="M127" s="35" t="e">
        <v>#N/A</v>
      </c>
      <c r="N127" s="9">
        <v>0</v>
      </c>
      <c r="O127" s="53">
        <v>612.23658315042314</v>
      </c>
      <c r="P127" s="53">
        <v>612.23658315042314</v>
      </c>
      <c r="Q127" s="53">
        <v>0</v>
      </c>
      <c r="R127" s="53">
        <v>612.23658315042314</v>
      </c>
    </row>
    <row r="128" spans="2:18" x14ac:dyDescent="0.25">
      <c r="B128" s="35">
        <v>117</v>
      </c>
      <c r="C128" s="8"/>
      <c r="D128" s="8"/>
      <c r="E128" s="8"/>
      <c r="F128" s="7"/>
      <c r="G128" s="49"/>
      <c r="H128" s="5"/>
      <c r="I128" s="10">
        <v>0</v>
      </c>
      <c r="J128" s="49" t="e">
        <v>#N/A</v>
      </c>
      <c r="K128" s="35" t="e">
        <v>#N/A</v>
      </c>
      <c r="L128" s="35" t="e">
        <v>#N/A</v>
      </c>
      <c r="M128" s="35" t="e">
        <v>#N/A</v>
      </c>
      <c r="N128" s="9">
        <v>0</v>
      </c>
      <c r="O128" s="53">
        <v>612.23658315042314</v>
      </c>
      <c r="P128" s="53">
        <v>612.23658315042314</v>
      </c>
      <c r="Q128" s="53">
        <v>0</v>
      </c>
      <c r="R128" s="53">
        <v>612.23658315042314</v>
      </c>
    </row>
    <row r="129" spans="2:18" x14ac:dyDescent="0.25">
      <c r="B129" s="35">
        <v>118</v>
      </c>
      <c r="C129" s="8"/>
      <c r="D129" s="8"/>
      <c r="E129" s="8"/>
      <c r="F129" s="7"/>
      <c r="G129" s="49"/>
      <c r="H129" s="5"/>
      <c r="I129" s="10">
        <v>0</v>
      </c>
      <c r="J129" s="49" t="e">
        <v>#N/A</v>
      </c>
      <c r="K129" s="35" t="e">
        <v>#N/A</v>
      </c>
      <c r="L129" s="35" t="e">
        <v>#N/A</v>
      </c>
      <c r="M129" s="35" t="e">
        <v>#N/A</v>
      </c>
      <c r="N129" s="9">
        <v>0</v>
      </c>
      <c r="O129" s="53">
        <v>612.23658315042314</v>
      </c>
      <c r="P129" s="53">
        <v>612.23658315042314</v>
      </c>
      <c r="Q129" s="53">
        <v>0</v>
      </c>
      <c r="R129" s="53">
        <v>612.23658315042314</v>
      </c>
    </row>
    <row r="130" spans="2:18" x14ac:dyDescent="0.25">
      <c r="B130" s="35">
        <v>119</v>
      </c>
      <c r="C130" s="8"/>
      <c r="D130" s="8"/>
      <c r="E130" s="8"/>
      <c r="F130" s="7"/>
      <c r="G130" s="49"/>
      <c r="H130" s="5"/>
      <c r="I130" s="10">
        <v>0</v>
      </c>
      <c r="J130" s="49" t="e">
        <v>#N/A</v>
      </c>
      <c r="K130" s="35" t="e">
        <v>#N/A</v>
      </c>
      <c r="L130" s="35" t="e">
        <v>#N/A</v>
      </c>
      <c r="M130" s="35" t="e">
        <v>#N/A</v>
      </c>
      <c r="N130" s="9">
        <v>0</v>
      </c>
      <c r="O130" s="53">
        <v>612.23658315042314</v>
      </c>
      <c r="P130" s="53">
        <v>612.23658315042314</v>
      </c>
      <c r="Q130" s="53">
        <v>0</v>
      </c>
      <c r="R130" s="53">
        <v>612.23658315042314</v>
      </c>
    </row>
    <row r="131" spans="2:18" x14ac:dyDescent="0.25">
      <c r="B131" s="35">
        <v>120</v>
      </c>
      <c r="C131" s="8"/>
      <c r="D131" s="8"/>
      <c r="E131" s="8"/>
      <c r="F131" s="7"/>
      <c r="G131" s="49"/>
      <c r="H131" s="5"/>
      <c r="I131" s="10">
        <v>0</v>
      </c>
      <c r="J131" s="49" t="e">
        <v>#N/A</v>
      </c>
      <c r="K131" s="35" t="e">
        <v>#N/A</v>
      </c>
      <c r="L131" s="35" t="e">
        <v>#N/A</v>
      </c>
      <c r="M131" s="35" t="e">
        <v>#N/A</v>
      </c>
      <c r="N131" s="9">
        <v>0</v>
      </c>
      <c r="O131" s="53">
        <v>612.23658315042314</v>
      </c>
      <c r="P131" s="53">
        <v>612.23658315042314</v>
      </c>
      <c r="Q131" s="53">
        <v>0</v>
      </c>
      <c r="R131" s="53">
        <v>612.23658315042314</v>
      </c>
    </row>
    <row r="132" spans="2:18" x14ac:dyDescent="0.25">
      <c r="B132" s="35">
        <v>121</v>
      </c>
      <c r="C132" s="8"/>
      <c r="D132" s="8"/>
      <c r="E132" s="8"/>
      <c r="F132" s="7"/>
      <c r="G132" s="49"/>
      <c r="H132" s="5"/>
      <c r="I132" s="10">
        <v>0</v>
      </c>
      <c r="J132" s="49" t="e">
        <v>#N/A</v>
      </c>
      <c r="K132" s="35" t="e">
        <v>#N/A</v>
      </c>
      <c r="L132" s="35" t="e">
        <v>#N/A</v>
      </c>
      <c r="M132" s="35" t="e">
        <v>#N/A</v>
      </c>
      <c r="N132" s="9">
        <v>0</v>
      </c>
      <c r="O132" s="53">
        <v>612.23658315042314</v>
      </c>
      <c r="P132" s="53">
        <v>612.23658315042314</v>
      </c>
      <c r="Q132" s="53">
        <v>0</v>
      </c>
      <c r="R132" s="53">
        <v>612.23658315042314</v>
      </c>
    </row>
    <row r="133" spans="2:18" x14ac:dyDescent="0.25">
      <c r="B133" s="35">
        <v>122</v>
      </c>
      <c r="C133" s="8"/>
      <c r="D133" s="8"/>
      <c r="E133" s="8"/>
      <c r="F133" s="7"/>
      <c r="G133" s="49"/>
      <c r="H133" s="5"/>
      <c r="I133" s="10">
        <v>0</v>
      </c>
      <c r="J133" s="49" t="e">
        <v>#N/A</v>
      </c>
      <c r="K133" s="35" t="e">
        <v>#N/A</v>
      </c>
      <c r="L133" s="35" t="e">
        <v>#N/A</v>
      </c>
      <c r="M133" s="35" t="e">
        <v>#N/A</v>
      </c>
      <c r="N133" s="9">
        <v>0</v>
      </c>
      <c r="O133" s="53">
        <v>612.23658315042314</v>
      </c>
      <c r="P133" s="53">
        <v>612.23658315042314</v>
      </c>
      <c r="Q133" s="53">
        <v>0</v>
      </c>
      <c r="R133" s="53">
        <v>612.23658315042314</v>
      </c>
    </row>
  </sheetData>
  <mergeCells count="31">
    <mergeCell ref="AO2:AP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AM2:AN2"/>
    <mergeCell ref="BM2:BN2"/>
    <mergeCell ref="AQ2:AR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CA2:CB2"/>
    <mergeCell ref="BO2:BP2"/>
    <mergeCell ref="BQ2:BR2"/>
    <mergeCell ref="BS2:BT2"/>
    <mergeCell ref="BU2:BV2"/>
    <mergeCell ref="BW2:BX2"/>
    <mergeCell ref="BY2:BZ2"/>
  </mergeCells>
  <conditionalFormatting sqref="S6:CB89">
    <cfRule type="cellIs" dxfId="9" priority="4" operator="equal">
      <formula>0</formula>
    </cfRule>
    <cfRule type="cellIs" dxfId="8" priority="5" operator="greaterThan">
      <formula>1</formula>
    </cfRule>
  </conditionalFormatting>
  <conditionalFormatting sqref="AY6:AY89 BB6:BB89 BE6:BE89 BH6:BH89 BK6:BK89 BN6:BN89 BQ6:BQ89 BW6:BW89 BT6:BT89 BZ6:BZ89 CB6:CB89">
    <cfRule type="cellIs" dxfId="7" priority="2" operator="equal">
      <formula>0</formula>
    </cfRule>
    <cfRule type="cellIs" dxfId="6" priority="3" operator="equal">
      <formula>1</formula>
    </cfRule>
  </conditionalFormatting>
  <conditionalFormatting sqref="S6:CB89">
    <cfRule type="cellIs" dxfId="5" priority="1" operator="equal">
      <formula>1</formula>
    </cfRule>
  </conditionalFormatting>
  <dataValidations count="1">
    <dataValidation type="list" allowBlank="1" showInputMessage="1" showErrorMessage="1" sqref="L6:L16">
      <formula1>Линии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O59"/>
  <sheetViews>
    <sheetView view="pageBreakPreview" zoomScale="80" zoomScaleNormal="60" zoomScaleSheetLayoutView="80" workbookViewId="0">
      <pane ySplit="7" topLeftCell="A8" activePane="bottomLeft" state="frozen"/>
      <selection pane="bottomLeft" activeCell="A41" sqref="A41"/>
    </sheetView>
  </sheetViews>
  <sheetFormatPr defaultRowHeight="16.5" x14ac:dyDescent="0.25"/>
  <cols>
    <col min="1" max="1" width="7.140625" style="2" customWidth="1"/>
    <col min="2" max="2" width="59.85546875" style="3" customWidth="1"/>
    <col min="3" max="3" width="17.42578125" style="3" customWidth="1"/>
    <col min="4" max="4" width="18.42578125" style="3" customWidth="1"/>
    <col min="5" max="5" width="18.5703125" style="3" customWidth="1"/>
    <col min="6" max="6" width="24.5703125" style="3" customWidth="1"/>
    <col min="7" max="8" width="18.5703125" style="3" customWidth="1"/>
    <col min="9" max="9" width="15.140625" style="3" customWidth="1"/>
    <col min="10" max="10" width="35.85546875" style="3" customWidth="1"/>
    <col min="11" max="15" width="9.140625" style="3"/>
    <col min="16" max="16384" width="9.140625" style="2"/>
  </cols>
  <sheetData>
    <row r="2" spans="1:10" x14ac:dyDescent="0.25">
      <c r="F2" s="75" t="s">
        <v>46</v>
      </c>
      <c r="G2" s="75"/>
      <c r="H2" s="75"/>
      <c r="I2" s="75"/>
      <c r="J2" s="75"/>
    </row>
    <row r="3" spans="1:10" x14ac:dyDescent="0.25">
      <c r="F3" s="76" t="s">
        <v>47</v>
      </c>
      <c r="G3" s="76"/>
      <c r="H3" s="76"/>
      <c r="I3" s="76"/>
      <c r="J3" s="76"/>
    </row>
    <row r="4" spans="1:10" x14ac:dyDescent="0.25">
      <c r="F4" s="76" t="s">
        <v>48</v>
      </c>
      <c r="G4" s="76"/>
      <c r="H4" s="76"/>
      <c r="I4" s="76"/>
      <c r="J4" s="76"/>
    </row>
    <row r="5" spans="1:10" x14ac:dyDescent="0.25">
      <c r="F5" s="76" t="s">
        <v>49</v>
      </c>
      <c r="G5" s="76"/>
      <c r="H5" s="76"/>
      <c r="I5" s="76"/>
      <c r="J5" s="76"/>
    </row>
    <row r="6" spans="1:10" ht="17.25" thickBot="1" x14ac:dyDescent="0.3"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</row>
    <row r="7" spans="1:10" s="3" customFormat="1" ht="56.25" customHeight="1" x14ac:dyDescent="0.25">
      <c r="A7" s="55" t="s">
        <v>50</v>
      </c>
      <c r="B7" s="56" t="s">
        <v>0</v>
      </c>
      <c r="C7" s="56" t="s">
        <v>51</v>
      </c>
      <c r="D7" s="55" t="s">
        <v>1</v>
      </c>
      <c r="E7" s="57" t="s">
        <v>2</v>
      </c>
      <c r="F7" s="55" t="s">
        <v>3</v>
      </c>
      <c r="G7" s="58" t="s">
        <v>4</v>
      </c>
      <c r="H7" s="55" t="s">
        <v>52</v>
      </c>
      <c r="I7" s="59" t="s">
        <v>45</v>
      </c>
      <c r="J7" s="57" t="s">
        <v>90</v>
      </c>
    </row>
    <row r="8" spans="1:10" s="3" customFormat="1" ht="20.100000000000001" customHeight="1" x14ac:dyDescent="0.25">
      <c r="A8" s="16">
        <v>1</v>
      </c>
      <c r="B8" s="13" t="s">
        <v>5</v>
      </c>
      <c r="C8" s="17">
        <v>1</v>
      </c>
      <c r="D8" s="18">
        <v>0.35</v>
      </c>
      <c r="E8" s="19">
        <v>1</v>
      </c>
      <c r="F8" s="19">
        <v>1</v>
      </c>
      <c r="G8" s="19">
        <v>2</v>
      </c>
      <c r="H8" s="19">
        <f t="shared" ref="H8:H14" si="0">G8+F8+E8</f>
        <v>4</v>
      </c>
      <c r="I8" s="25">
        <f>(141.9*1.85)/1000</f>
        <v>0.26251500000000005</v>
      </c>
      <c r="J8" s="22" t="s">
        <v>66</v>
      </c>
    </row>
    <row r="9" spans="1:10" s="3" customFormat="1" ht="20.100000000000001" customHeight="1" x14ac:dyDescent="0.25">
      <c r="A9" s="16">
        <v>2</v>
      </c>
      <c r="B9" s="12" t="s">
        <v>58</v>
      </c>
      <c r="C9" s="17">
        <v>1</v>
      </c>
      <c r="D9" s="18">
        <v>0.35</v>
      </c>
      <c r="E9" s="19">
        <v>1.5</v>
      </c>
      <c r="F9" s="19">
        <v>1.5</v>
      </c>
      <c r="G9" s="19">
        <v>2.5</v>
      </c>
      <c r="H9" s="19">
        <f t="shared" si="0"/>
        <v>5.5</v>
      </c>
      <c r="I9" s="25">
        <f>(565*1.85)/1000</f>
        <v>1.04525</v>
      </c>
      <c r="J9" s="22" t="s">
        <v>66</v>
      </c>
    </row>
    <row r="10" spans="1:10" s="3" customFormat="1" ht="20.100000000000001" customHeight="1" x14ac:dyDescent="0.25">
      <c r="A10" s="16">
        <v>3</v>
      </c>
      <c r="B10" s="12" t="s">
        <v>59</v>
      </c>
      <c r="C10" s="17">
        <v>1</v>
      </c>
      <c r="D10" s="18">
        <v>0.35</v>
      </c>
      <c r="E10" s="19">
        <v>1.5</v>
      </c>
      <c r="F10" s="19">
        <v>1.5</v>
      </c>
      <c r="G10" s="19">
        <v>3</v>
      </c>
      <c r="H10" s="19">
        <f t="shared" si="0"/>
        <v>6</v>
      </c>
      <c r="I10" s="25">
        <f>(605.6*1.85)/1000</f>
        <v>1.12036</v>
      </c>
      <c r="J10" s="22" t="s">
        <v>66</v>
      </c>
    </row>
    <row r="11" spans="1:10" s="3" customFormat="1" ht="20.100000000000001" customHeight="1" x14ac:dyDescent="0.25">
      <c r="A11" s="16">
        <v>4</v>
      </c>
      <c r="B11" s="13" t="s">
        <v>6</v>
      </c>
      <c r="C11" s="17">
        <v>1</v>
      </c>
      <c r="D11" s="18">
        <v>0.35</v>
      </c>
      <c r="E11" s="19">
        <v>2</v>
      </c>
      <c r="F11" s="19">
        <v>1.5</v>
      </c>
      <c r="G11" s="19">
        <v>3</v>
      </c>
      <c r="H11" s="19">
        <f t="shared" si="0"/>
        <v>6.5</v>
      </c>
      <c r="I11" s="25">
        <f>(864.6*1.85)/1000</f>
        <v>1.5995100000000002</v>
      </c>
      <c r="J11" s="22" t="s">
        <v>66</v>
      </c>
    </row>
    <row r="12" spans="1:10" s="3" customFormat="1" ht="20.100000000000001" customHeight="1" x14ac:dyDescent="0.25">
      <c r="A12" s="16">
        <v>5</v>
      </c>
      <c r="B12" s="13" t="s">
        <v>7</v>
      </c>
      <c r="C12" s="17">
        <v>1</v>
      </c>
      <c r="D12" s="18">
        <v>0.3</v>
      </c>
      <c r="E12" s="19">
        <v>2.5</v>
      </c>
      <c r="F12" s="19">
        <v>1.5</v>
      </c>
      <c r="G12" s="19">
        <v>3</v>
      </c>
      <c r="H12" s="19">
        <f t="shared" si="0"/>
        <v>7</v>
      </c>
      <c r="I12" s="25">
        <f>(733.1*1.85)/1000</f>
        <v>1.3562350000000001</v>
      </c>
      <c r="J12" s="22" t="s">
        <v>66</v>
      </c>
    </row>
    <row r="13" spans="1:10" s="3" customFormat="1" ht="20.100000000000001" customHeight="1" x14ac:dyDescent="0.25">
      <c r="A13" s="16">
        <v>6</v>
      </c>
      <c r="B13" s="13" t="s">
        <v>8</v>
      </c>
      <c r="C13" s="17">
        <v>1</v>
      </c>
      <c r="D13" s="18">
        <v>0.3</v>
      </c>
      <c r="E13" s="19">
        <v>2.5</v>
      </c>
      <c r="F13" s="19">
        <v>1.5</v>
      </c>
      <c r="G13" s="19">
        <v>3</v>
      </c>
      <c r="H13" s="19">
        <f t="shared" si="0"/>
        <v>7</v>
      </c>
      <c r="I13" s="25">
        <f>(636.5*1.85)/1000</f>
        <v>1.1775250000000002</v>
      </c>
      <c r="J13" s="22" t="s">
        <v>66</v>
      </c>
    </row>
    <row r="14" spans="1:10" s="3" customFormat="1" ht="20.100000000000001" customHeight="1" x14ac:dyDescent="0.25">
      <c r="A14" s="16">
        <v>7</v>
      </c>
      <c r="B14" s="13" t="s">
        <v>9</v>
      </c>
      <c r="C14" s="17">
        <v>1</v>
      </c>
      <c r="D14" s="17">
        <v>0.35</v>
      </c>
      <c r="E14" s="19">
        <v>2</v>
      </c>
      <c r="F14" s="19">
        <v>1</v>
      </c>
      <c r="G14" s="19">
        <v>3</v>
      </c>
      <c r="H14" s="19">
        <f t="shared" si="0"/>
        <v>6</v>
      </c>
      <c r="I14" s="25">
        <f>(448.5*1.85)/1000</f>
        <v>0.82972500000000005</v>
      </c>
      <c r="J14" s="22" t="s">
        <v>66</v>
      </c>
    </row>
    <row r="15" spans="1:10" s="3" customFormat="1" ht="20.100000000000001" customHeight="1" x14ac:dyDescent="0.25">
      <c r="A15" s="16">
        <v>8</v>
      </c>
      <c r="B15" s="13" t="s">
        <v>10</v>
      </c>
      <c r="C15" s="17">
        <v>1</v>
      </c>
      <c r="D15" s="18">
        <v>0.3</v>
      </c>
      <c r="E15" s="19">
        <v>3</v>
      </c>
      <c r="F15" s="19">
        <v>1.5</v>
      </c>
      <c r="G15" s="19">
        <v>3</v>
      </c>
      <c r="H15" s="19">
        <f t="shared" ref="H15:H52" si="1">G15+F15+E15</f>
        <v>7.5</v>
      </c>
      <c r="I15" s="25">
        <f>(1131.2*1.85)/1000</f>
        <v>2.0927200000000004</v>
      </c>
      <c r="J15" s="22" t="s">
        <v>66</v>
      </c>
    </row>
    <row r="16" spans="1:10" s="3" customFormat="1" ht="20.100000000000001" customHeight="1" x14ac:dyDescent="0.25">
      <c r="A16" s="16">
        <v>9</v>
      </c>
      <c r="B16" s="13" t="s">
        <v>11</v>
      </c>
      <c r="C16" s="17">
        <v>1</v>
      </c>
      <c r="D16" s="18">
        <v>0.2</v>
      </c>
      <c r="E16" s="19">
        <v>5</v>
      </c>
      <c r="F16" s="19">
        <v>2</v>
      </c>
      <c r="G16" s="19">
        <v>4</v>
      </c>
      <c r="H16" s="19">
        <f t="shared" si="1"/>
        <v>11</v>
      </c>
      <c r="I16" s="25">
        <f>(2196.9*1.85)/1000</f>
        <v>4.0642650000000007</v>
      </c>
      <c r="J16" s="22" t="s">
        <v>66</v>
      </c>
    </row>
    <row r="17" spans="1:10" s="3" customFormat="1" ht="20.100000000000001" customHeight="1" x14ac:dyDescent="0.25">
      <c r="A17" s="16">
        <v>10</v>
      </c>
      <c r="B17" s="13" t="s">
        <v>12</v>
      </c>
      <c r="C17" s="17">
        <v>1</v>
      </c>
      <c r="D17" s="17">
        <v>0.15</v>
      </c>
      <c r="E17" s="19">
        <v>12</v>
      </c>
      <c r="F17" s="19">
        <v>2</v>
      </c>
      <c r="G17" s="19">
        <v>4</v>
      </c>
      <c r="H17" s="19">
        <f t="shared" si="1"/>
        <v>18</v>
      </c>
      <c r="I17" s="25">
        <f>(3803.4*1.85)/1000</f>
        <v>7.036290000000001</v>
      </c>
      <c r="J17" s="22" t="s">
        <v>66</v>
      </c>
    </row>
    <row r="18" spans="1:10" s="3" customFormat="1" ht="20.100000000000001" customHeight="1" x14ac:dyDescent="0.25">
      <c r="A18" s="16">
        <v>11</v>
      </c>
      <c r="B18" s="13" t="s">
        <v>13</v>
      </c>
      <c r="C18" s="17">
        <v>1</v>
      </c>
      <c r="D18" s="18">
        <v>0.15</v>
      </c>
      <c r="E18" s="19">
        <v>24</v>
      </c>
      <c r="F18" s="19">
        <v>3</v>
      </c>
      <c r="G18" s="19">
        <v>10</v>
      </c>
      <c r="H18" s="19">
        <f t="shared" si="1"/>
        <v>37</v>
      </c>
      <c r="I18" s="25">
        <f>(4682*1.85)/1000</f>
        <v>8.6617000000000015</v>
      </c>
      <c r="J18" s="22" t="s">
        <v>66</v>
      </c>
    </row>
    <row r="19" spans="1:10" s="3" customFormat="1" ht="20.100000000000001" customHeight="1" x14ac:dyDescent="0.25">
      <c r="A19" s="16">
        <v>12</v>
      </c>
      <c r="B19" s="13" t="s">
        <v>14</v>
      </c>
      <c r="C19" s="17">
        <v>1</v>
      </c>
      <c r="D19" s="18">
        <v>0.1</v>
      </c>
      <c r="E19" s="19">
        <v>36</v>
      </c>
      <c r="F19" s="19">
        <v>4</v>
      </c>
      <c r="G19" s="19">
        <v>12</v>
      </c>
      <c r="H19" s="19">
        <f t="shared" si="1"/>
        <v>52</v>
      </c>
      <c r="I19" s="25">
        <f>(8681.6*1.85)/1000</f>
        <v>16.060960000000001</v>
      </c>
      <c r="J19" s="22" t="s">
        <v>66</v>
      </c>
    </row>
    <row r="20" spans="1:10" s="3" customFormat="1" ht="20.100000000000001" customHeight="1" x14ac:dyDescent="0.25">
      <c r="A20" s="16">
        <v>13</v>
      </c>
      <c r="B20" s="13" t="s">
        <v>15</v>
      </c>
      <c r="C20" s="17">
        <v>1</v>
      </c>
      <c r="D20" s="18">
        <v>0.2</v>
      </c>
      <c r="E20" s="19">
        <v>12</v>
      </c>
      <c r="F20" s="19">
        <v>3</v>
      </c>
      <c r="G20" s="19">
        <v>4</v>
      </c>
      <c r="H20" s="19">
        <f t="shared" si="1"/>
        <v>19</v>
      </c>
      <c r="I20" s="25">
        <f>(3999.1*1.85)/1000</f>
        <v>7.3983350000000003</v>
      </c>
      <c r="J20" s="22" t="s">
        <v>66</v>
      </c>
    </row>
    <row r="21" spans="1:10" s="3" customFormat="1" ht="20.100000000000001" customHeight="1" x14ac:dyDescent="0.25">
      <c r="A21" s="16">
        <v>14</v>
      </c>
      <c r="B21" s="12" t="s">
        <v>60</v>
      </c>
      <c r="C21" s="17">
        <v>1</v>
      </c>
      <c r="D21" s="18">
        <v>0.4</v>
      </c>
      <c r="E21" s="19">
        <v>2</v>
      </c>
      <c r="F21" s="19">
        <v>1.5</v>
      </c>
      <c r="G21" s="19">
        <v>1.5</v>
      </c>
      <c r="H21" s="19">
        <f t="shared" si="1"/>
        <v>5</v>
      </c>
      <c r="I21" s="25">
        <f>(216*1.85)/1000</f>
        <v>0.39960000000000001</v>
      </c>
      <c r="J21" s="22" t="s">
        <v>66</v>
      </c>
    </row>
    <row r="22" spans="1:10" s="3" customFormat="1" ht="20.100000000000001" customHeight="1" x14ac:dyDescent="0.25">
      <c r="A22" s="16">
        <v>15</v>
      </c>
      <c r="B22" s="14" t="s">
        <v>16</v>
      </c>
      <c r="C22" s="16">
        <v>2</v>
      </c>
      <c r="D22" s="18">
        <v>0.4</v>
      </c>
      <c r="E22" s="19">
        <v>2</v>
      </c>
      <c r="F22" s="19">
        <v>1.5</v>
      </c>
      <c r="G22" s="19">
        <v>1.5</v>
      </c>
      <c r="H22" s="19">
        <f t="shared" si="1"/>
        <v>5</v>
      </c>
      <c r="I22" s="25">
        <f>(273.3*1.85)/1000</f>
        <v>0.50560499999999997</v>
      </c>
      <c r="J22" s="22" t="s">
        <v>66</v>
      </c>
    </row>
    <row r="23" spans="1:10" s="3" customFormat="1" ht="20.100000000000001" customHeight="1" x14ac:dyDescent="0.25">
      <c r="A23" s="16">
        <v>16</v>
      </c>
      <c r="B23" s="12" t="s">
        <v>61</v>
      </c>
      <c r="C23" s="16">
        <v>1</v>
      </c>
      <c r="D23" s="18">
        <v>0.4</v>
      </c>
      <c r="E23" s="19">
        <v>2</v>
      </c>
      <c r="F23" s="19">
        <v>1.5</v>
      </c>
      <c r="G23" s="19">
        <v>1.5</v>
      </c>
      <c r="H23" s="19">
        <f t="shared" si="1"/>
        <v>5</v>
      </c>
      <c r="I23" s="25">
        <f>(329.9*1.85)/1000</f>
        <v>0.61031499999999994</v>
      </c>
      <c r="J23" s="22" t="s">
        <v>66</v>
      </c>
    </row>
    <row r="24" spans="1:10" s="3" customFormat="1" ht="20.100000000000001" customHeight="1" x14ac:dyDescent="0.25">
      <c r="A24" s="16">
        <v>17</v>
      </c>
      <c r="B24" s="14" t="s">
        <v>17</v>
      </c>
      <c r="C24" s="16">
        <v>1</v>
      </c>
      <c r="D24" s="18">
        <v>0.4</v>
      </c>
      <c r="E24" s="19">
        <v>1.5</v>
      </c>
      <c r="F24" s="19">
        <v>1</v>
      </c>
      <c r="G24" s="19">
        <v>1.5</v>
      </c>
      <c r="H24" s="19">
        <f t="shared" si="1"/>
        <v>4</v>
      </c>
      <c r="I24" s="25">
        <f>(205*1.85)/1000</f>
        <v>0.37924999999999998</v>
      </c>
      <c r="J24" s="22" t="s">
        <v>66</v>
      </c>
    </row>
    <row r="25" spans="1:10" s="3" customFormat="1" ht="20.100000000000001" customHeight="1" x14ac:dyDescent="0.25">
      <c r="A25" s="16">
        <v>18</v>
      </c>
      <c r="B25" s="14" t="s">
        <v>18</v>
      </c>
      <c r="C25" s="16">
        <v>2</v>
      </c>
      <c r="D25" s="18">
        <v>0.4</v>
      </c>
      <c r="E25" s="19">
        <v>3</v>
      </c>
      <c r="F25" s="19">
        <v>1.5</v>
      </c>
      <c r="G25" s="19">
        <v>3</v>
      </c>
      <c r="H25" s="19">
        <f t="shared" si="1"/>
        <v>7.5</v>
      </c>
      <c r="I25" s="25">
        <f>(354*1.85)/1000</f>
        <v>0.65489999999999993</v>
      </c>
      <c r="J25" s="22" t="s">
        <v>66</v>
      </c>
    </row>
    <row r="26" spans="1:10" s="3" customFormat="1" ht="20.100000000000001" customHeight="1" x14ac:dyDescent="0.25">
      <c r="A26" s="16">
        <v>19</v>
      </c>
      <c r="B26" s="12" t="s">
        <v>62</v>
      </c>
      <c r="C26" s="16">
        <v>2</v>
      </c>
      <c r="D26" s="18">
        <v>0.4</v>
      </c>
      <c r="E26" s="19">
        <v>3</v>
      </c>
      <c r="F26" s="19">
        <v>1.5</v>
      </c>
      <c r="G26" s="19">
        <v>3</v>
      </c>
      <c r="H26" s="19">
        <f t="shared" si="1"/>
        <v>7.5</v>
      </c>
      <c r="I26" s="25">
        <f>(323*1.85)/1000</f>
        <v>0.59755000000000003</v>
      </c>
      <c r="J26" s="22" t="s">
        <v>55</v>
      </c>
    </row>
    <row r="27" spans="1:10" s="3" customFormat="1" ht="19.5" customHeight="1" x14ac:dyDescent="0.25">
      <c r="A27" s="16">
        <v>20</v>
      </c>
      <c r="B27" s="14" t="s">
        <v>19</v>
      </c>
      <c r="C27" s="16">
        <v>1</v>
      </c>
      <c r="D27" s="18">
        <v>0.35</v>
      </c>
      <c r="E27" s="19">
        <v>2</v>
      </c>
      <c r="F27" s="19">
        <v>1.5</v>
      </c>
      <c r="G27" s="19">
        <v>3</v>
      </c>
      <c r="H27" s="19">
        <f t="shared" si="1"/>
        <v>6.5</v>
      </c>
      <c r="I27" s="25">
        <f>(444*1.85)/1000</f>
        <v>0.82140000000000013</v>
      </c>
      <c r="J27" s="22" t="s">
        <v>55</v>
      </c>
    </row>
    <row r="28" spans="1:10" s="3" customFormat="1" ht="20.100000000000001" customHeight="1" x14ac:dyDescent="0.25">
      <c r="A28" s="16">
        <v>21</v>
      </c>
      <c r="B28" s="14" t="s">
        <v>20</v>
      </c>
      <c r="C28" s="16">
        <v>2</v>
      </c>
      <c r="D28" s="18">
        <v>0.35</v>
      </c>
      <c r="E28" s="19">
        <v>3</v>
      </c>
      <c r="F28" s="19">
        <v>1.5</v>
      </c>
      <c r="G28" s="19">
        <v>3</v>
      </c>
      <c r="H28" s="19">
        <f t="shared" si="1"/>
        <v>7.5</v>
      </c>
      <c r="I28" s="25">
        <f>(516.8*1.85)/1000</f>
        <v>0.95607999999999993</v>
      </c>
      <c r="J28" s="22" t="s">
        <v>55</v>
      </c>
    </row>
    <row r="29" spans="1:10" s="3" customFormat="1" ht="20.100000000000001" customHeight="1" x14ac:dyDescent="0.25">
      <c r="A29" s="16">
        <v>22</v>
      </c>
      <c r="B29" s="14" t="s">
        <v>21</v>
      </c>
      <c r="C29" s="16">
        <v>1</v>
      </c>
      <c r="D29" s="18">
        <v>0.35</v>
      </c>
      <c r="E29" s="19">
        <v>2</v>
      </c>
      <c r="F29" s="19">
        <v>1.5</v>
      </c>
      <c r="G29" s="19">
        <v>3</v>
      </c>
      <c r="H29" s="19">
        <f t="shared" si="1"/>
        <v>6.5</v>
      </c>
      <c r="I29" s="25">
        <f>(637*1.85)/1000</f>
        <v>1.17845</v>
      </c>
      <c r="J29" s="22" t="s">
        <v>55</v>
      </c>
    </row>
    <row r="30" spans="1:10" s="3" customFormat="1" ht="20.100000000000001" customHeight="1" x14ac:dyDescent="0.25">
      <c r="A30" s="16">
        <v>23</v>
      </c>
      <c r="B30" s="14" t="s">
        <v>22</v>
      </c>
      <c r="C30" s="16">
        <v>1</v>
      </c>
      <c r="D30" s="18">
        <v>0.3</v>
      </c>
      <c r="E30" s="19">
        <v>6</v>
      </c>
      <c r="F30" s="19">
        <v>2</v>
      </c>
      <c r="G30" s="19">
        <v>3.5</v>
      </c>
      <c r="H30" s="19">
        <f t="shared" si="1"/>
        <v>11.5</v>
      </c>
      <c r="I30" s="25">
        <f>(1292.7*1.85)/1000</f>
        <v>2.3914950000000004</v>
      </c>
      <c r="J30" s="22" t="s">
        <v>55</v>
      </c>
    </row>
    <row r="31" spans="1:10" s="3" customFormat="1" ht="20.100000000000001" customHeight="1" x14ac:dyDescent="0.25">
      <c r="A31" s="16">
        <v>24</v>
      </c>
      <c r="B31" s="14" t="s">
        <v>23</v>
      </c>
      <c r="C31" s="16">
        <v>2</v>
      </c>
      <c r="D31" s="18">
        <v>0.3</v>
      </c>
      <c r="E31" s="19">
        <v>4</v>
      </c>
      <c r="F31" s="19">
        <v>2</v>
      </c>
      <c r="G31" s="19">
        <v>3</v>
      </c>
      <c r="H31" s="19">
        <f t="shared" si="1"/>
        <v>9</v>
      </c>
      <c r="I31" s="26">
        <f>(900*1.85)/1000</f>
        <v>1.665</v>
      </c>
      <c r="J31" s="22" t="s">
        <v>55</v>
      </c>
    </row>
    <row r="32" spans="1:10" s="3" customFormat="1" ht="20.100000000000001" customHeight="1" x14ac:dyDescent="0.25">
      <c r="A32" s="16">
        <v>25</v>
      </c>
      <c r="B32" s="14" t="s">
        <v>24</v>
      </c>
      <c r="C32" s="16">
        <v>2</v>
      </c>
      <c r="D32" s="18">
        <v>0.3</v>
      </c>
      <c r="E32" s="19">
        <v>4</v>
      </c>
      <c r="F32" s="19">
        <v>2</v>
      </c>
      <c r="G32" s="19">
        <v>3</v>
      </c>
      <c r="H32" s="19">
        <f t="shared" si="1"/>
        <v>9</v>
      </c>
      <c r="I32" s="26">
        <f>(1100*1.85)/1000</f>
        <v>2.0350000000000001</v>
      </c>
      <c r="J32" s="22" t="s">
        <v>55</v>
      </c>
    </row>
    <row r="33" spans="1:10" s="3" customFormat="1" ht="20.100000000000001" customHeight="1" x14ac:dyDescent="0.25">
      <c r="A33" s="16">
        <v>26</v>
      </c>
      <c r="B33" s="14" t="s">
        <v>25</v>
      </c>
      <c r="C33" s="16">
        <v>1</v>
      </c>
      <c r="D33" s="18">
        <v>0.35</v>
      </c>
      <c r="E33" s="19">
        <v>1.5</v>
      </c>
      <c r="F33" s="19">
        <v>1</v>
      </c>
      <c r="G33" s="19">
        <v>1.5</v>
      </c>
      <c r="H33" s="19">
        <f t="shared" si="1"/>
        <v>4</v>
      </c>
      <c r="I33" s="25">
        <f>(367*1.85)/1000</f>
        <v>0.67895000000000005</v>
      </c>
      <c r="J33" s="22" t="s">
        <v>55</v>
      </c>
    </row>
    <row r="34" spans="1:10" s="3" customFormat="1" ht="20.100000000000001" customHeight="1" x14ac:dyDescent="0.25">
      <c r="A34" s="16">
        <v>27</v>
      </c>
      <c r="B34" s="12" t="s">
        <v>57</v>
      </c>
      <c r="C34" s="16">
        <v>1</v>
      </c>
      <c r="D34" s="18">
        <v>0.4</v>
      </c>
      <c r="E34" s="19">
        <v>1.5</v>
      </c>
      <c r="F34" s="19">
        <v>1</v>
      </c>
      <c r="G34" s="19">
        <v>1.5</v>
      </c>
      <c r="H34" s="19">
        <f t="shared" si="1"/>
        <v>4</v>
      </c>
      <c r="I34" s="25">
        <f>(286.97*1.85)/1000</f>
        <v>0.53089450000000016</v>
      </c>
      <c r="J34" s="22" t="s">
        <v>56</v>
      </c>
    </row>
    <row r="35" spans="1:10" s="3" customFormat="1" ht="20.100000000000001" customHeight="1" x14ac:dyDescent="0.25">
      <c r="A35" s="16">
        <v>28</v>
      </c>
      <c r="B35" s="12" t="s">
        <v>63</v>
      </c>
      <c r="C35" s="16">
        <v>1</v>
      </c>
      <c r="D35" s="18">
        <v>0.35</v>
      </c>
      <c r="E35" s="19">
        <v>2</v>
      </c>
      <c r="F35" s="19">
        <v>1</v>
      </c>
      <c r="G35" s="19">
        <v>1.5</v>
      </c>
      <c r="H35" s="19">
        <f t="shared" si="1"/>
        <v>4.5</v>
      </c>
      <c r="I35" s="25">
        <f>(423.4*1.85)/1000</f>
        <v>0.78328999999999993</v>
      </c>
      <c r="J35" s="22" t="s">
        <v>56</v>
      </c>
    </row>
    <row r="36" spans="1:10" s="3" customFormat="1" ht="20.100000000000001" customHeight="1" x14ac:dyDescent="0.25">
      <c r="A36" s="16">
        <v>29</v>
      </c>
      <c r="B36" s="14" t="s">
        <v>26</v>
      </c>
      <c r="C36" s="16">
        <v>1</v>
      </c>
      <c r="D36" s="18">
        <v>0.35</v>
      </c>
      <c r="E36" s="19">
        <v>2</v>
      </c>
      <c r="F36" s="19">
        <v>1.5</v>
      </c>
      <c r="G36" s="19">
        <v>1.5</v>
      </c>
      <c r="H36" s="19">
        <f t="shared" si="1"/>
        <v>5</v>
      </c>
      <c r="I36" s="25">
        <f>(470.28*1.85)/1000</f>
        <v>0.87001800000000007</v>
      </c>
      <c r="J36" s="22" t="s">
        <v>56</v>
      </c>
    </row>
    <row r="37" spans="1:10" s="3" customFormat="1" ht="20.100000000000001" customHeight="1" x14ac:dyDescent="0.25">
      <c r="A37" s="16">
        <v>30</v>
      </c>
      <c r="B37" s="14" t="s">
        <v>27</v>
      </c>
      <c r="C37" s="16">
        <v>2</v>
      </c>
      <c r="D37" s="18">
        <v>0.35</v>
      </c>
      <c r="E37" s="19">
        <v>3</v>
      </c>
      <c r="F37" s="19">
        <v>1.5</v>
      </c>
      <c r="G37" s="19">
        <v>2</v>
      </c>
      <c r="H37" s="19">
        <f t="shared" si="1"/>
        <v>6.5</v>
      </c>
      <c r="I37" s="25">
        <f>(447*1.85)/1000</f>
        <v>0.82695000000000007</v>
      </c>
      <c r="J37" s="22" t="s">
        <v>56</v>
      </c>
    </row>
    <row r="38" spans="1:10" s="3" customFormat="1" ht="20.100000000000001" customHeight="1" x14ac:dyDescent="0.25">
      <c r="A38" s="16">
        <v>31</v>
      </c>
      <c r="B38" s="14" t="s">
        <v>28</v>
      </c>
      <c r="C38" s="16">
        <v>2</v>
      </c>
      <c r="D38" s="18">
        <v>0.35</v>
      </c>
      <c r="E38" s="19">
        <v>3</v>
      </c>
      <c r="F38" s="19">
        <v>1.5</v>
      </c>
      <c r="G38" s="19">
        <v>2</v>
      </c>
      <c r="H38" s="19">
        <f>G38+F38+E38</f>
        <v>6.5</v>
      </c>
      <c r="I38" s="25">
        <f>(597*1.85)/1000</f>
        <v>1.1044500000000002</v>
      </c>
      <c r="J38" s="22" t="s">
        <v>56</v>
      </c>
    </row>
    <row r="39" spans="1:10" s="3" customFormat="1" ht="20.100000000000001" customHeight="1" x14ac:dyDescent="0.25">
      <c r="A39" s="16">
        <v>32</v>
      </c>
      <c r="B39" s="14" t="s">
        <v>29</v>
      </c>
      <c r="C39" s="16">
        <v>1</v>
      </c>
      <c r="D39" s="18">
        <v>0.35</v>
      </c>
      <c r="E39" s="19">
        <v>3</v>
      </c>
      <c r="F39" s="19">
        <v>2</v>
      </c>
      <c r="G39" s="19">
        <v>2</v>
      </c>
      <c r="H39" s="19">
        <f t="shared" si="1"/>
        <v>7</v>
      </c>
      <c r="I39" s="25">
        <f>(725.4*1.85)/1000</f>
        <v>1.34199</v>
      </c>
      <c r="J39" s="22" t="s">
        <v>56</v>
      </c>
    </row>
    <row r="40" spans="1:10" s="3" customFormat="1" ht="20.100000000000001" customHeight="1" x14ac:dyDescent="0.25">
      <c r="A40" s="16">
        <v>33</v>
      </c>
      <c r="B40" s="14" t="s">
        <v>30</v>
      </c>
      <c r="C40" s="16">
        <v>1</v>
      </c>
      <c r="D40" s="18">
        <v>0.35</v>
      </c>
      <c r="E40" s="19">
        <v>3</v>
      </c>
      <c r="F40" s="19">
        <v>1.5</v>
      </c>
      <c r="G40" s="19">
        <v>2</v>
      </c>
      <c r="H40" s="19">
        <f t="shared" si="1"/>
        <v>6.5</v>
      </c>
      <c r="I40" s="25">
        <f>(688.64*1.85)/1000</f>
        <v>1.273984</v>
      </c>
      <c r="J40" s="22" t="s">
        <v>56</v>
      </c>
    </row>
    <row r="41" spans="1:10" s="3" customFormat="1" ht="20.100000000000001" customHeight="1" x14ac:dyDescent="0.25">
      <c r="A41" s="16">
        <v>34</v>
      </c>
      <c r="B41" s="14" t="s">
        <v>31</v>
      </c>
      <c r="C41" s="16">
        <v>1</v>
      </c>
      <c r="D41" s="18">
        <v>0.35</v>
      </c>
      <c r="E41" s="19">
        <v>3</v>
      </c>
      <c r="F41" s="19">
        <v>1.5</v>
      </c>
      <c r="G41" s="19">
        <v>2</v>
      </c>
      <c r="H41" s="19">
        <f t="shared" si="1"/>
        <v>6.5</v>
      </c>
      <c r="I41" s="25">
        <f>(939*1.85)/1000</f>
        <v>1.7371500000000002</v>
      </c>
      <c r="J41" s="22" t="s">
        <v>56</v>
      </c>
    </row>
    <row r="42" spans="1:10" s="3" customFormat="1" ht="20.100000000000001" customHeight="1" x14ac:dyDescent="0.25">
      <c r="A42" s="16">
        <v>35</v>
      </c>
      <c r="B42" s="14" t="s">
        <v>32</v>
      </c>
      <c r="C42" s="16">
        <v>1</v>
      </c>
      <c r="D42" s="18">
        <v>0.3</v>
      </c>
      <c r="E42" s="19">
        <v>4</v>
      </c>
      <c r="F42" s="19">
        <v>2</v>
      </c>
      <c r="G42" s="19">
        <v>2</v>
      </c>
      <c r="H42" s="19">
        <f t="shared" si="1"/>
        <v>8</v>
      </c>
      <c r="I42" s="25">
        <f>(1858.08*1.85)/1000</f>
        <v>3.4374479999999998</v>
      </c>
      <c r="J42" s="22" t="s">
        <v>56</v>
      </c>
    </row>
    <row r="43" spans="1:10" s="3" customFormat="1" ht="20.100000000000001" customHeight="1" x14ac:dyDescent="0.25">
      <c r="A43" s="16">
        <v>36</v>
      </c>
      <c r="B43" s="14" t="s">
        <v>33</v>
      </c>
      <c r="C43" s="16">
        <v>1</v>
      </c>
      <c r="D43" s="18">
        <v>0.3</v>
      </c>
      <c r="E43" s="19">
        <v>4</v>
      </c>
      <c r="F43" s="19">
        <v>2</v>
      </c>
      <c r="G43" s="19">
        <v>2</v>
      </c>
      <c r="H43" s="19">
        <f t="shared" si="1"/>
        <v>8</v>
      </c>
      <c r="I43" s="25">
        <f>(2258.08*1.85)/1000</f>
        <v>4.1774480000000001</v>
      </c>
      <c r="J43" s="22" t="s">
        <v>56</v>
      </c>
    </row>
    <row r="44" spans="1:10" s="3" customFormat="1" ht="20.100000000000001" customHeight="1" x14ac:dyDescent="0.25">
      <c r="A44" s="16">
        <v>37</v>
      </c>
      <c r="B44" s="14" t="s">
        <v>34</v>
      </c>
      <c r="C44" s="16">
        <v>1</v>
      </c>
      <c r="D44" s="18">
        <v>0.35</v>
      </c>
      <c r="E44" s="19">
        <v>2</v>
      </c>
      <c r="F44" s="19">
        <v>1.5</v>
      </c>
      <c r="G44" s="19">
        <v>2</v>
      </c>
      <c r="H44" s="19">
        <f t="shared" si="1"/>
        <v>5.5</v>
      </c>
      <c r="I44" s="25">
        <f>(344.82*1.85)/1000</f>
        <v>0.63791700000000007</v>
      </c>
      <c r="J44" s="22" t="s">
        <v>56</v>
      </c>
    </row>
    <row r="45" spans="1:10" s="3" customFormat="1" ht="20.100000000000001" customHeight="1" x14ac:dyDescent="0.25">
      <c r="A45" s="16">
        <v>38</v>
      </c>
      <c r="B45" s="14" t="s">
        <v>35</v>
      </c>
      <c r="C45" s="16">
        <v>1</v>
      </c>
      <c r="D45" s="18">
        <v>0.35</v>
      </c>
      <c r="E45" s="19">
        <v>2</v>
      </c>
      <c r="F45" s="19">
        <v>1.5</v>
      </c>
      <c r="G45" s="19">
        <v>2</v>
      </c>
      <c r="H45" s="19">
        <f t="shared" si="1"/>
        <v>5.5</v>
      </c>
      <c r="I45" s="25">
        <f>(602.32*1.85)/1000</f>
        <v>1.1142920000000001</v>
      </c>
      <c r="J45" s="22" t="s">
        <v>56</v>
      </c>
    </row>
    <row r="46" spans="1:10" s="3" customFormat="1" ht="20.100000000000001" customHeight="1" x14ac:dyDescent="0.25">
      <c r="A46" s="16">
        <v>39</v>
      </c>
      <c r="B46" s="14" t="s">
        <v>36</v>
      </c>
      <c r="C46" s="16">
        <v>1</v>
      </c>
      <c r="D46" s="18">
        <v>0.3</v>
      </c>
      <c r="E46" s="19">
        <v>3</v>
      </c>
      <c r="F46" s="19">
        <v>2</v>
      </c>
      <c r="G46" s="19">
        <v>2</v>
      </c>
      <c r="H46" s="19">
        <f t="shared" si="1"/>
        <v>7</v>
      </c>
      <c r="I46" s="25">
        <f>(1278.94*1.85)/1000</f>
        <v>2.3660390000000002</v>
      </c>
      <c r="J46" s="22" t="s">
        <v>56</v>
      </c>
    </row>
    <row r="47" spans="1:10" s="3" customFormat="1" ht="20.100000000000001" customHeight="1" x14ac:dyDescent="0.25">
      <c r="A47" s="16">
        <v>40</v>
      </c>
      <c r="B47" s="14" t="s">
        <v>53</v>
      </c>
      <c r="C47" s="16">
        <v>1</v>
      </c>
      <c r="D47" s="18">
        <v>0.3</v>
      </c>
      <c r="E47" s="19">
        <v>4</v>
      </c>
      <c r="F47" s="19">
        <v>2</v>
      </c>
      <c r="G47" s="19">
        <v>2</v>
      </c>
      <c r="H47" s="19">
        <f t="shared" si="1"/>
        <v>8</v>
      </c>
      <c r="I47" s="25">
        <f>(1678.92*1.85)/1000</f>
        <v>3.1060020000000006</v>
      </c>
      <c r="J47" s="22" t="s">
        <v>56</v>
      </c>
    </row>
    <row r="48" spans="1:10" s="3" customFormat="1" ht="20.100000000000001" customHeight="1" x14ac:dyDescent="0.25">
      <c r="A48" s="16">
        <v>41</v>
      </c>
      <c r="B48" s="12" t="s">
        <v>64</v>
      </c>
      <c r="C48" s="16">
        <v>1</v>
      </c>
      <c r="D48" s="18">
        <v>0.25</v>
      </c>
      <c r="E48" s="19">
        <v>6</v>
      </c>
      <c r="F48" s="19">
        <v>2</v>
      </c>
      <c r="G48" s="19">
        <v>2</v>
      </c>
      <c r="H48" s="19">
        <f t="shared" si="1"/>
        <v>10</v>
      </c>
      <c r="I48" s="25">
        <f>(3078*1.85)/1000</f>
        <v>5.6943000000000001</v>
      </c>
      <c r="J48" s="22" t="s">
        <v>56</v>
      </c>
    </row>
    <row r="49" spans="1:12" s="3" customFormat="1" ht="20.100000000000001" customHeight="1" x14ac:dyDescent="0.25">
      <c r="A49" s="16">
        <v>42</v>
      </c>
      <c r="B49" s="14" t="s">
        <v>37</v>
      </c>
      <c r="C49" s="16">
        <v>1</v>
      </c>
      <c r="D49" s="18">
        <v>0.35</v>
      </c>
      <c r="E49" s="19">
        <v>2</v>
      </c>
      <c r="F49" s="19">
        <v>1.5</v>
      </c>
      <c r="G49" s="19">
        <v>2</v>
      </c>
      <c r="H49" s="19">
        <f t="shared" si="1"/>
        <v>5.5</v>
      </c>
      <c r="I49" s="25">
        <f>(394.27*1.85)/1000</f>
        <v>0.72939949999999998</v>
      </c>
      <c r="J49" s="22" t="s">
        <v>56</v>
      </c>
    </row>
    <row r="50" spans="1:12" s="3" customFormat="1" ht="20.100000000000001" customHeight="1" x14ac:dyDescent="0.25">
      <c r="A50" s="16">
        <v>43</v>
      </c>
      <c r="B50" s="15" t="s">
        <v>38</v>
      </c>
      <c r="C50" s="17">
        <v>4</v>
      </c>
      <c r="D50" s="18">
        <v>0.25</v>
      </c>
      <c r="E50" s="19">
        <v>1.5</v>
      </c>
      <c r="F50" s="19">
        <v>2</v>
      </c>
      <c r="G50" s="19">
        <v>2</v>
      </c>
      <c r="H50" s="19">
        <f>G50+F50+E50</f>
        <v>5.5</v>
      </c>
      <c r="I50" s="25">
        <f>(97.8*1.85)/1000</f>
        <v>0.18093000000000001</v>
      </c>
      <c r="J50" s="22" t="s">
        <v>56</v>
      </c>
    </row>
    <row r="51" spans="1:12" s="3" customFormat="1" ht="20.100000000000001" customHeight="1" x14ac:dyDescent="0.25">
      <c r="A51" s="16">
        <v>44</v>
      </c>
      <c r="B51" s="15" t="s">
        <v>39</v>
      </c>
      <c r="C51" s="17">
        <v>4</v>
      </c>
      <c r="D51" s="18">
        <v>0.25</v>
      </c>
      <c r="E51" s="20">
        <v>1.5</v>
      </c>
      <c r="F51" s="20">
        <v>2</v>
      </c>
      <c r="G51" s="20">
        <v>2</v>
      </c>
      <c r="H51" s="19">
        <f t="shared" si="1"/>
        <v>5.5</v>
      </c>
      <c r="I51" s="25">
        <f>(71.1*1.85)/1000</f>
        <v>0.13153499999999999</v>
      </c>
      <c r="J51" s="22" t="s">
        <v>56</v>
      </c>
    </row>
    <row r="52" spans="1:12" s="3" customFormat="1" ht="20.100000000000001" customHeight="1" x14ac:dyDescent="0.25">
      <c r="A52" s="16">
        <v>45</v>
      </c>
      <c r="B52" s="15" t="s">
        <v>40</v>
      </c>
      <c r="C52" s="17">
        <v>4</v>
      </c>
      <c r="D52" s="18">
        <v>0.25</v>
      </c>
      <c r="E52" s="20">
        <v>1.5</v>
      </c>
      <c r="F52" s="20">
        <v>2</v>
      </c>
      <c r="G52" s="20">
        <v>2</v>
      </c>
      <c r="H52" s="19">
        <f t="shared" si="1"/>
        <v>5.5</v>
      </c>
      <c r="I52" s="25">
        <f>(44.4*1.85)/1000</f>
        <v>8.2140000000000005E-2</v>
      </c>
      <c r="J52" s="22" t="s">
        <v>56</v>
      </c>
    </row>
    <row r="54" spans="1:12" s="3" customFormat="1" ht="18.75" x14ac:dyDescent="0.25">
      <c r="B54" s="4" t="s">
        <v>41</v>
      </c>
      <c r="C54" s="4"/>
    </row>
    <row r="55" spans="1:12" s="3" customFormat="1" ht="18.75" x14ac:dyDescent="0.25">
      <c r="B55" s="77" t="s">
        <v>42</v>
      </c>
      <c r="C55" s="77"/>
      <c r="D55" s="77"/>
      <c r="E55" s="77"/>
    </row>
    <row r="57" spans="1:12" s="3" customFormat="1" ht="17.25" thickBot="1" x14ac:dyDescent="0.3"/>
    <row r="58" spans="1:12" s="3" customFormat="1" ht="17.25" thickBot="1" x14ac:dyDescent="0.3">
      <c r="L58" s="1"/>
    </row>
    <row r="59" spans="1:12" s="3" customFormat="1" x14ac:dyDescent="0.25">
      <c r="D59" s="3" t="s">
        <v>43</v>
      </c>
      <c r="G59" s="3" t="s">
        <v>44</v>
      </c>
    </row>
  </sheetData>
  <mergeCells count="5">
    <mergeCell ref="F2:J2"/>
    <mergeCell ref="F3:J3"/>
    <mergeCell ref="F4:J4"/>
    <mergeCell ref="F5:J5"/>
    <mergeCell ref="B55:E55"/>
  </mergeCells>
  <pageMargins left="0.27559055118110237" right="0.27559055118110237" top="0.35433070866141736" bottom="0.15748031496062992" header="0.51181102362204722" footer="0.51181102362204722"/>
  <pageSetup paperSize="9" scale="60" fitToHeight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>
    <outlinePr summaryBelow="0" summaryRight="0"/>
  </sheetPr>
  <dimension ref="A1:BZ93"/>
  <sheetViews>
    <sheetView zoomScale="85" zoomScaleNormal="85" workbookViewId="0">
      <selection activeCell="V69" sqref="V69"/>
    </sheetView>
  </sheetViews>
  <sheetFormatPr defaultRowHeight="15" outlineLevelCol="1" x14ac:dyDescent="0.25"/>
  <cols>
    <col min="1" max="1" width="4.5703125" style="28" customWidth="1"/>
    <col min="2" max="2" width="5.140625" style="28" customWidth="1"/>
    <col min="3" max="3" width="36.5703125" style="28" customWidth="1" collapsed="1"/>
    <col min="4" max="4" width="16.42578125" style="28" hidden="1" customWidth="1" outlineLevel="1"/>
    <col min="5" max="5" width="16.42578125" style="29" customWidth="1"/>
    <col min="6" max="6" width="22.85546875" style="28" customWidth="1"/>
    <col min="7" max="8" width="9.42578125" style="28" customWidth="1" outlineLevel="1"/>
    <col min="9" max="10" width="6.28515625" style="28" customWidth="1" outlineLevel="1"/>
    <col min="11" max="12" width="6.140625" style="28" customWidth="1" outlineLevel="1"/>
    <col min="13" max="14" width="8.28515625" style="28" customWidth="1" outlineLevel="1"/>
    <col min="15" max="16" width="8.28515625" style="29" customWidth="1" outlineLevel="1"/>
    <col min="17" max="25" width="7.42578125" style="44" customWidth="1"/>
    <col min="26" max="37" width="7.42578125" style="45" customWidth="1"/>
    <col min="38" max="78" width="4.7109375" style="45" customWidth="1"/>
    <col min="79" max="16384" width="9.140625" style="28"/>
  </cols>
  <sheetData>
    <row r="1" spans="1:78" x14ac:dyDescent="0.25">
      <c r="A1" s="61" t="s">
        <v>91</v>
      </c>
    </row>
    <row r="2" spans="1:78" x14ac:dyDescent="0.25">
      <c r="A2" s="61" t="s">
        <v>92</v>
      </c>
      <c r="C2" s="28" t="s">
        <v>75</v>
      </c>
      <c r="D2" s="61" t="s">
        <v>92</v>
      </c>
      <c r="E2" s="63">
        <f>SUM(Q2:BZ2)</f>
        <v>496</v>
      </c>
      <c r="Q2" s="74">
        <v>1</v>
      </c>
      <c r="R2" s="74"/>
      <c r="S2" s="74">
        <v>2</v>
      </c>
      <c r="T2" s="74"/>
      <c r="U2" s="74">
        <v>3</v>
      </c>
      <c r="V2" s="74"/>
      <c r="W2" s="74">
        <v>4</v>
      </c>
      <c r="X2" s="74"/>
      <c r="Y2" s="74">
        <v>5</v>
      </c>
      <c r="Z2" s="74"/>
      <c r="AA2" s="74">
        <v>6</v>
      </c>
      <c r="AB2" s="74"/>
      <c r="AC2" s="74">
        <v>7</v>
      </c>
      <c r="AD2" s="74"/>
      <c r="AE2" s="74">
        <v>8</v>
      </c>
      <c r="AF2" s="74"/>
      <c r="AG2" s="74">
        <v>9</v>
      </c>
      <c r="AH2" s="74"/>
      <c r="AI2" s="74">
        <v>10</v>
      </c>
      <c r="AJ2" s="74"/>
      <c r="AK2" s="74">
        <v>11</v>
      </c>
      <c r="AL2" s="74"/>
      <c r="AM2" s="74">
        <v>12</v>
      </c>
      <c r="AN2" s="74"/>
      <c r="AO2" s="74">
        <v>13</v>
      </c>
      <c r="AP2" s="74"/>
      <c r="AQ2" s="74">
        <v>14</v>
      </c>
      <c r="AR2" s="74"/>
      <c r="AS2" s="74">
        <v>15</v>
      </c>
      <c r="AT2" s="74"/>
      <c r="AU2" s="74">
        <v>16</v>
      </c>
      <c r="AV2" s="74"/>
      <c r="AW2" s="74">
        <v>17</v>
      </c>
      <c r="AX2" s="74"/>
      <c r="AY2" s="74">
        <v>18</v>
      </c>
      <c r="AZ2" s="74"/>
      <c r="BA2" s="74">
        <v>19</v>
      </c>
      <c r="BB2" s="74"/>
      <c r="BC2" s="74">
        <v>20</v>
      </c>
      <c r="BD2" s="74"/>
      <c r="BE2" s="74">
        <v>21</v>
      </c>
      <c r="BF2" s="74"/>
      <c r="BG2" s="74">
        <v>22</v>
      </c>
      <c r="BH2" s="74"/>
      <c r="BI2" s="74">
        <v>23</v>
      </c>
      <c r="BJ2" s="74"/>
      <c r="BK2" s="74">
        <v>24</v>
      </c>
      <c r="BL2" s="74"/>
      <c r="BM2" s="74">
        <v>25</v>
      </c>
      <c r="BN2" s="74"/>
      <c r="BO2" s="74">
        <v>26</v>
      </c>
      <c r="BP2" s="74"/>
      <c r="BQ2" s="74">
        <v>27</v>
      </c>
      <c r="BR2" s="74"/>
      <c r="BS2" s="74">
        <v>28</v>
      </c>
      <c r="BT2" s="74"/>
      <c r="BU2" s="74">
        <v>29</v>
      </c>
      <c r="BV2" s="74"/>
      <c r="BW2" s="74">
        <v>30</v>
      </c>
      <c r="BX2" s="74"/>
      <c r="BY2" s="74">
        <v>31</v>
      </c>
      <c r="BZ2" s="74"/>
    </row>
    <row r="3" spans="1:78" x14ac:dyDescent="0.25">
      <c r="A3" s="61" t="s">
        <v>93</v>
      </c>
      <c r="D3" s="61" t="s">
        <v>93</v>
      </c>
      <c r="E3" s="64">
        <f>E2-E1</f>
        <v>496</v>
      </c>
      <c r="I3" s="30"/>
      <c r="J3" s="30"/>
      <c r="K3" s="30"/>
      <c r="L3" s="30"/>
      <c r="M3" s="30"/>
      <c r="N3" s="30"/>
      <c r="Q3" s="54" t="s">
        <v>81</v>
      </c>
      <c r="R3" s="54" t="s">
        <v>82</v>
      </c>
      <c r="S3" s="54" t="s">
        <v>83</v>
      </c>
      <c r="T3" s="54" t="s">
        <v>81</v>
      </c>
      <c r="U3" s="54" t="s">
        <v>82</v>
      </c>
      <c r="V3" s="54" t="s">
        <v>83</v>
      </c>
      <c r="W3" s="54" t="s">
        <v>81</v>
      </c>
      <c r="X3" s="54" t="s">
        <v>82</v>
      </c>
      <c r="Y3" s="54" t="s">
        <v>83</v>
      </c>
      <c r="Z3" s="54" t="s">
        <v>81</v>
      </c>
      <c r="AA3" s="54" t="s">
        <v>82</v>
      </c>
      <c r="AB3" s="54" t="s">
        <v>83</v>
      </c>
      <c r="AC3" s="54" t="s">
        <v>81</v>
      </c>
      <c r="AD3" s="54" t="s">
        <v>82</v>
      </c>
      <c r="AE3" s="54" t="s">
        <v>83</v>
      </c>
      <c r="AF3" s="54" t="s">
        <v>81</v>
      </c>
      <c r="AG3" s="54" t="s">
        <v>82</v>
      </c>
      <c r="AH3" s="54" t="s">
        <v>83</v>
      </c>
      <c r="AI3" s="54" t="s">
        <v>81</v>
      </c>
      <c r="AJ3" s="54" t="s">
        <v>82</v>
      </c>
      <c r="AK3" s="54" t="s">
        <v>83</v>
      </c>
      <c r="AL3" s="54" t="s">
        <v>81</v>
      </c>
      <c r="AM3" s="54" t="s">
        <v>82</v>
      </c>
      <c r="AN3" s="54" t="s">
        <v>83</v>
      </c>
      <c r="AO3" s="54" t="s">
        <v>81</v>
      </c>
      <c r="AP3" s="54" t="s">
        <v>82</v>
      </c>
      <c r="AQ3" s="54" t="s">
        <v>83</v>
      </c>
      <c r="AR3" s="54" t="s">
        <v>81</v>
      </c>
      <c r="AS3" s="54" t="s">
        <v>82</v>
      </c>
      <c r="AT3" s="54" t="s">
        <v>83</v>
      </c>
      <c r="AU3" s="54" t="s">
        <v>81</v>
      </c>
      <c r="AV3" s="54" t="s">
        <v>82</v>
      </c>
      <c r="AW3" s="54" t="s">
        <v>83</v>
      </c>
      <c r="AX3" s="54" t="s">
        <v>81</v>
      </c>
      <c r="AY3" s="54" t="s">
        <v>82</v>
      </c>
      <c r="AZ3" s="54" t="s">
        <v>83</v>
      </c>
      <c r="BA3" s="54" t="s">
        <v>81</v>
      </c>
      <c r="BB3" s="54" t="s">
        <v>82</v>
      </c>
      <c r="BC3" s="54" t="s">
        <v>83</v>
      </c>
      <c r="BD3" s="54" t="s">
        <v>81</v>
      </c>
      <c r="BE3" s="54" t="s">
        <v>82</v>
      </c>
      <c r="BF3" s="54" t="s">
        <v>83</v>
      </c>
      <c r="BG3" s="54" t="s">
        <v>81</v>
      </c>
      <c r="BH3" s="54" t="s">
        <v>82</v>
      </c>
      <c r="BI3" s="54" t="s">
        <v>83</v>
      </c>
      <c r="BJ3" s="54" t="s">
        <v>81</v>
      </c>
      <c r="BK3" s="54" t="s">
        <v>82</v>
      </c>
      <c r="BL3" s="54" t="s">
        <v>83</v>
      </c>
      <c r="BM3" s="54" t="s">
        <v>81</v>
      </c>
      <c r="BN3" s="54" t="s">
        <v>82</v>
      </c>
      <c r="BO3" s="54" t="s">
        <v>83</v>
      </c>
      <c r="BP3" s="54" t="s">
        <v>81</v>
      </c>
      <c r="BQ3" s="54" t="s">
        <v>82</v>
      </c>
      <c r="BR3" s="54" t="s">
        <v>83</v>
      </c>
      <c r="BS3" s="54" t="s">
        <v>81</v>
      </c>
      <c r="BT3" s="54" t="s">
        <v>82</v>
      </c>
      <c r="BU3" s="54" t="s">
        <v>83</v>
      </c>
      <c r="BV3" s="54" t="s">
        <v>81</v>
      </c>
      <c r="BW3" s="54" t="s">
        <v>82</v>
      </c>
      <c r="BX3" s="54" t="s">
        <v>83</v>
      </c>
      <c r="BY3" s="54" t="s">
        <v>82</v>
      </c>
      <c r="BZ3" s="54" t="s">
        <v>83</v>
      </c>
    </row>
    <row r="4" spans="1:78" s="34" customFormat="1" ht="116.25" customHeight="1" x14ac:dyDescent="0.25">
      <c r="B4" s="31" t="s">
        <v>76</v>
      </c>
      <c r="C4" s="31" t="s">
        <v>77</v>
      </c>
      <c r="D4" s="21" t="s">
        <v>69</v>
      </c>
      <c r="E4" s="21" t="s">
        <v>95</v>
      </c>
      <c r="F4" s="21" t="s">
        <v>54</v>
      </c>
      <c r="G4" s="21" t="s">
        <v>96</v>
      </c>
      <c r="H4" s="52" t="s">
        <v>89</v>
      </c>
      <c r="I4" s="38" t="s">
        <v>84</v>
      </c>
      <c r="J4" s="51" t="s">
        <v>88</v>
      </c>
      <c r="K4" s="38" t="s">
        <v>85</v>
      </c>
      <c r="L4" s="39" t="s">
        <v>86</v>
      </c>
      <c r="M4" s="32" t="s">
        <v>78</v>
      </c>
      <c r="N4" s="32" t="s">
        <v>79</v>
      </c>
      <c r="O4" s="32" t="s">
        <v>87</v>
      </c>
      <c r="P4" s="31" t="s">
        <v>80</v>
      </c>
      <c r="Q4" s="42">
        <v>0</v>
      </c>
      <c r="R4" s="42">
        <v>12</v>
      </c>
      <c r="S4" s="42">
        <v>24</v>
      </c>
      <c r="T4" s="42">
        <v>36</v>
      </c>
      <c r="U4" s="42">
        <v>48</v>
      </c>
      <c r="V4" s="42">
        <v>60</v>
      </c>
      <c r="W4" s="42">
        <v>72</v>
      </c>
      <c r="X4" s="42">
        <v>84</v>
      </c>
      <c r="Y4" s="42">
        <v>96</v>
      </c>
      <c r="Z4" s="42">
        <v>108</v>
      </c>
      <c r="AA4" s="42">
        <v>120</v>
      </c>
      <c r="AB4" s="42">
        <v>132</v>
      </c>
      <c r="AC4" s="42">
        <v>144</v>
      </c>
      <c r="AD4" s="42">
        <v>156</v>
      </c>
      <c r="AE4" s="42">
        <v>168</v>
      </c>
      <c r="AF4" s="42">
        <v>180</v>
      </c>
      <c r="AG4" s="42">
        <v>192</v>
      </c>
      <c r="AH4" s="42">
        <v>204</v>
      </c>
      <c r="AI4" s="42">
        <v>216</v>
      </c>
      <c r="AJ4" s="42">
        <v>228</v>
      </c>
      <c r="AK4" s="42">
        <v>240</v>
      </c>
      <c r="AL4" s="42">
        <v>252</v>
      </c>
      <c r="AM4" s="42">
        <v>264</v>
      </c>
      <c r="AN4" s="42">
        <v>276</v>
      </c>
      <c r="AO4" s="42">
        <v>288</v>
      </c>
      <c r="AP4" s="42">
        <v>300</v>
      </c>
      <c r="AQ4" s="42">
        <v>312</v>
      </c>
      <c r="AR4" s="42">
        <v>324</v>
      </c>
      <c r="AS4" s="42">
        <v>336</v>
      </c>
      <c r="AT4" s="42">
        <v>348</v>
      </c>
      <c r="AU4" s="42">
        <v>360</v>
      </c>
      <c r="AV4" s="42">
        <v>372</v>
      </c>
      <c r="AW4" s="42">
        <v>384</v>
      </c>
      <c r="AX4" s="42">
        <v>396</v>
      </c>
      <c r="AY4" s="42">
        <v>408</v>
      </c>
      <c r="AZ4" s="42">
        <v>420</v>
      </c>
      <c r="BA4" s="42">
        <v>432</v>
      </c>
      <c r="BB4" s="42">
        <v>444</v>
      </c>
      <c r="BC4" s="42">
        <v>456</v>
      </c>
      <c r="BD4" s="42">
        <v>468</v>
      </c>
      <c r="BE4" s="42">
        <v>480</v>
      </c>
      <c r="BF4" s="42">
        <v>492</v>
      </c>
      <c r="BG4" s="42">
        <v>504</v>
      </c>
      <c r="BH4" s="42">
        <v>516</v>
      </c>
      <c r="BI4" s="42">
        <v>528</v>
      </c>
      <c r="BJ4" s="42">
        <v>540</v>
      </c>
      <c r="BK4" s="42">
        <v>552</v>
      </c>
      <c r="BL4" s="42">
        <v>564</v>
      </c>
      <c r="BM4" s="42">
        <v>576</v>
      </c>
      <c r="BN4" s="42">
        <v>588</v>
      </c>
      <c r="BO4" s="42">
        <v>600</v>
      </c>
      <c r="BP4" s="42">
        <v>612</v>
      </c>
      <c r="BQ4" s="42">
        <v>624</v>
      </c>
      <c r="BR4" s="42">
        <v>636</v>
      </c>
      <c r="BS4" s="42">
        <v>648</v>
      </c>
      <c r="BT4" s="42">
        <v>660</v>
      </c>
      <c r="BU4" s="42">
        <v>672</v>
      </c>
      <c r="BV4" s="42">
        <v>684</v>
      </c>
      <c r="BW4" s="42">
        <v>696</v>
      </c>
      <c r="BX4" s="42">
        <v>708</v>
      </c>
      <c r="BY4" s="42">
        <v>720</v>
      </c>
      <c r="BZ4" s="42">
        <v>732</v>
      </c>
    </row>
    <row r="5" spans="1:78" s="34" customFormat="1" ht="18" customHeight="1" x14ac:dyDescent="0.25">
      <c r="B5" s="31"/>
      <c r="C5" s="31"/>
      <c r="D5" s="31"/>
      <c r="E5" s="31"/>
      <c r="F5" s="31"/>
      <c r="G5" s="31"/>
      <c r="H5" s="31"/>
      <c r="I5" s="40"/>
      <c r="J5" s="40"/>
      <c r="K5" s="40"/>
      <c r="L5" s="40"/>
      <c r="M5" s="60">
        <v>0</v>
      </c>
      <c r="N5" s="60">
        <f>M5+L5</f>
        <v>0</v>
      </c>
      <c r="O5" s="60">
        <f>N5-M5</f>
        <v>0</v>
      </c>
      <c r="P5" s="60">
        <f>O5</f>
        <v>0</v>
      </c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</row>
    <row r="6" spans="1:78" hidden="1" x14ac:dyDescent="0.25">
      <c r="A6" s="61" t="s">
        <v>91</v>
      </c>
      <c r="B6" s="35">
        <v>2</v>
      </c>
      <c r="C6" s="8" t="s">
        <v>13</v>
      </c>
      <c r="D6" s="7">
        <v>1018</v>
      </c>
      <c r="E6" s="9">
        <v>69.960748095128181</v>
      </c>
      <c r="F6" s="5" t="s">
        <v>55</v>
      </c>
      <c r="G6" s="10">
        <v>44.773416455014242</v>
      </c>
      <c r="H6" s="49">
        <v>9</v>
      </c>
      <c r="I6" s="35">
        <v>333</v>
      </c>
      <c r="J6" s="35">
        <v>10</v>
      </c>
      <c r="K6" s="35">
        <v>108</v>
      </c>
      <c r="L6" s="9">
        <v>44.773416455014242</v>
      </c>
      <c r="M6" s="53">
        <v>0</v>
      </c>
      <c r="N6" s="53">
        <v>44.773416455014242</v>
      </c>
      <c r="O6" s="53">
        <v>44.773416455014242</v>
      </c>
      <c r="P6" s="53">
        <v>44.773416455014242</v>
      </c>
      <c r="Q6" s="43">
        <v>108</v>
      </c>
      <c r="R6" s="43">
        <v>108</v>
      </c>
      <c r="S6" s="43">
        <v>108</v>
      </c>
      <c r="T6" s="43">
        <v>108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  <c r="AB6" s="43">
        <v>0</v>
      </c>
      <c r="AC6" s="43">
        <v>0</v>
      </c>
      <c r="AD6" s="43">
        <v>0</v>
      </c>
      <c r="AE6" s="43">
        <v>0</v>
      </c>
      <c r="AF6" s="43">
        <v>0</v>
      </c>
      <c r="AG6" s="43">
        <v>0</v>
      </c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</row>
    <row r="7" spans="1:78" hidden="1" x14ac:dyDescent="0.25">
      <c r="A7" s="61" t="s">
        <v>91</v>
      </c>
      <c r="B7" s="35">
        <v>2</v>
      </c>
      <c r="C7" s="8" t="s">
        <v>14</v>
      </c>
      <c r="D7" s="7">
        <v>1018</v>
      </c>
      <c r="E7" s="9">
        <v>9.4639188095386402</v>
      </c>
      <c r="F7" s="5" t="s">
        <v>55</v>
      </c>
      <c r="G7" s="50">
        <v>53.577319801589773</v>
      </c>
      <c r="H7" s="49">
        <v>6</v>
      </c>
      <c r="I7" s="35">
        <v>312</v>
      </c>
      <c r="J7" s="35">
        <v>12</v>
      </c>
      <c r="K7" s="35">
        <v>72</v>
      </c>
      <c r="L7" s="9">
        <v>53.577319801589773</v>
      </c>
      <c r="M7" s="53">
        <v>44.773416455014242</v>
      </c>
      <c r="N7" s="53">
        <v>98.350736256604023</v>
      </c>
      <c r="O7" s="53">
        <v>53.57731980158978</v>
      </c>
      <c r="P7" s="53">
        <v>98.350736256604023</v>
      </c>
      <c r="Q7" s="43">
        <v>1</v>
      </c>
      <c r="R7" s="43">
        <v>1</v>
      </c>
      <c r="S7" s="43">
        <v>1</v>
      </c>
      <c r="T7" s="43">
        <v>1</v>
      </c>
      <c r="U7" s="43">
        <v>72</v>
      </c>
      <c r="V7" s="43">
        <v>72</v>
      </c>
      <c r="W7" s="43">
        <v>72</v>
      </c>
      <c r="X7" s="43">
        <v>72</v>
      </c>
      <c r="Y7" s="43">
        <v>72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43">
        <v>0</v>
      </c>
      <c r="AH7" s="43">
        <v>0</v>
      </c>
      <c r="AI7" s="43">
        <v>0</v>
      </c>
      <c r="AJ7" s="43">
        <v>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43">
        <v>0</v>
      </c>
      <c r="AX7" s="43">
        <v>0</v>
      </c>
      <c r="AY7" s="43">
        <v>0</v>
      </c>
      <c r="AZ7" s="43">
        <v>0</v>
      </c>
      <c r="BA7" s="43">
        <v>0</v>
      </c>
      <c r="BB7" s="43">
        <v>0</v>
      </c>
      <c r="BC7" s="43">
        <v>0</v>
      </c>
      <c r="BD7" s="43">
        <v>0</v>
      </c>
      <c r="BE7" s="43">
        <v>0</v>
      </c>
      <c r="BF7" s="43">
        <v>0</v>
      </c>
      <c r="BG7" s="43">
        <v>0</v>
      </c>
      <c r="BH7" s="43">
        <v>0</v>
      </c>
      <c r="BI7" s="43">
        <v>0</v>
      </c>
      <c r="BJ7" s="43">
        <v>0</v>
      </c>
      <c r="BK7" s="43">
        <v>0</v>
      </c>
      <c r="BL7" s="43">
        <v>0</v>
      </c>
      <c r="BM7" s="43">
        <v>0</v>
      </c>
      <c r="BN7" s="43">
        <v>0</v>
      </c>
      <c r="BO7" s="43">
        <v>0</v>
      </c>
      <c r="BP7" s="43">
        <v>0</v>
      </c>
      <c r="BQ7" s="43">
        <v>0</v>
      </c>
      <c r="BR7" s="43">
        <v>0</v>
      </c>
      <c r="BS7" s="43">
        <v>0</v>
      </c>
      <c r="BT7" s="43">
        <v>0</v>
      </c>
      <c r="BU7" s="43">
        <v>0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</row>
    <row r="8" spans="1:78" hidden="1" x14ac:dyDescent="0.25">
      <c r="A8" s="61" t="s">
        <v>92</v>
      </c>
      <c r="B8" s="35">
        <v>2</v>
      </c>
      <c r="C8" s="8" t="s">
        <v>13</v>
      </c>
      <c r="D8" s="7">
        <v>1018</v>
      </c>
      <c r="E8" s="63">
        <f>SUM(Q8:BZ8)</f>
        <v>0</v>
      </c>
      <c r="F8" s="5" t="s">
        <v>55</v>
      </c>
      <c r="G8" s="50"/>
      <c r="H8" s="49"/>
      <c r="I8" s="35"/>
      <c r="J8" s="35"/>
      <c r="K8" s="35"/>
      <c r="L8" s="9"/>
      <c r="M8" s="53"/>
      <c r="N8" s="53"/>
      <c r="O8" s="53"/>
      <c r="P8" s="5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</row>
    <row r="9" spans="1:78" hidden="1" x14ac:dyDescent="0.25">
      <c r="A9" s="61" t="s">
        <v>92</v>
      </c>
      <c r="B9" s="35">
        <v>2</v>
      </c>
      <c r="C9" s="8" t="s">
        <v>14</v>
      </c>
      <c r="D9" s="7">
        <v>1018</v>
      </c>
      <c r="E9" s="63">
        <f>SUM(Q9:BZ9)</f>
        <v>0</v>
      </c>
      <c r="F9" s="5" t="s">
        <v>55</v>
      </c>
      <c r="G9" s="35"/>
      <c r="H9" s="35"/>
      <c r="I9" s="35"/>
      <c r="J9" s="35"/>
      <c r="K9" s="35"/>
      <c r="L9" s="35"/>
      <c r="M9" s="36"/>
      <c r="N9" s="36"/>
      <c r="O9" s="36"/>
      <c r="P9" s="36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</row>
    <row r="10" spans="1:78" hidden="1" x14ac:dyDescent="0.25">
      <c r="A10" s="61" t="s">
        <v>93</v>
      </c>
      <c r="B10" s="35">
        <v>2</v>
      </c>
      <c r="C10" s="8" t="s">
        <v>13</v>
      </c>
      <c r="D10" s="7">
        <v>1018</v>
      </c>
      <c r="E10" s="64">
        <f>E9-E8</f>
        <v>0</v>
      </c>
      <c r="F10" s="5" t="s">
        <v>55</v>
      </c>
      <c r="G10" s="35"/>
      <c r="H10" s="35"/>
      <c r="I10" s="35"/>
      <c r="J10" s="35"/>
      <c r="K10" s="35"/>
      <c r="L10" s="35"/>
      <c r="M10" s="36"/>
      <c r="N10" s="36"/>
      <c r="O10" s="36"/>
      <c r="P10" s="36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</row>
    <row r="11" spans="1:78" hidden="1" x14ac:dyDescent="0.25">
      <c r="A11" s="61" t="s">
        <v>93</v>
      </c>
      <c r="B11" s="35">
        <v>2</v>
      </c>
      <c r="C11" s="8" t="s">
        <v>14</v>
      </c>
      <c r="D11" s="7">
        <v>1018</v>
      </c>
      <c r="E11" s="64">
        <f>E10-E9</f>
        <v>0</v>
      </c>
      <c r="F11" s="5" t="s">
        <v>55</v>
      </c>
      <c r="G11" s="10"/>
      <c r="H11" s="49"/>
      <c r="I11" s="35"/>
      <c r="J11" s="35"/>
      <c r="K11" s="35"/>
      <c r="L11" s="9"/>
      <c r="M11" s="53"/>
      <c r="N11" s="53"/>
      <c r="O11" s="53"/>
      <c r="P11" s="5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</row>
    <row r="12" spans="1:78" hidden="1" x14ac:dyDescent="0.25">
      <c r="A12" s="61" t="s">
        <v>91</v>
      </c>
      <c r="B12" s="35">
        <v>3</v>
      </c>
      <c r="C12" s="8" t="s">
        <v>30</v>
      </c>
      <c r="D12" s="7">
        <v>1018</v>
      </c>
      <c r="E12" s="9">
        <v>1099.95162</v>
      </c>
      <c r="F12" s="5" t="s">
        <v>55</v>
      </c>
      <c r="G12" s="35">
        <v>58.87864857142857</v>
      </c>
      <c r="H12" s="35">
        <v>21</v>
      </c>
      <c r="I12" s="35">
        <v>136.5</v>
      </c>
      <c r="J12" s="35">
        <v>2</v>
      </c>
      <c r="K12" s="35">
        <v>252</v>
      </c>
      <c r="L12" s="35">
        <v>58.87864857142857</v>
      </c>
      <c r="M12" s="36">
        <v>98.350736256604023</v>
      </c>
      <c r="N12" s="36">
        <v>157.22938482803261</v>
      </c>
      <c r="O12" s="36">
        <v>58.878648571428585</v>
      </c>
      <c r="P12" s="36">
        <v>157.22938482803261</v>
      </c>
      <c r="Q12" s="43">
        <v>1</v>
      </c>
      <c r="R12" s="43">
        <v>1</v>
      </c>
      <c r="S12" s="43">
        <v>1</v>
      </c>
      <c r="T12" s="43">
        <v>1</v>
      </c>
      <c r="U12" s="43">
        <v>1</v>
      </c>
      <c r="V12" s="43">
        <v>1</v>
      </c>
      <c r="W12" s="43">
        <v>1</v>
      </c>
      <c r="X12" s="43">
        <v>1</v>
      </c>
      <c r="Y12" s="43">
        <v>1</v>
      </c>
      <c r="Z12" s="43">
        <v>252</v>
      </c>
      <c r="AA12" s="43">
        <v>252</v>
      </c>
      <c r="AB12" s="43">
        <v>252</v>
      </c>
      <c r="AC12" s="43">
        <v>252</v>
      </c>
      <c r="AD12" s="43">
        <v>252</v>
      </c>
      <c r="AE12" s="43">
        <v>0</v>
      </c>
      <c r="AF12" s="43">
        <v>0</v>
      </c>
      <c r="AG12" s="43">
        <v>0</v>
      </c>
      <c r="AH12" s="43">
        <v>0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  <c r="AO12" s="43">
        <v>0</v>
      </c>
      <c r="AP12" s="43">
        <v>0</v>
      </c>
      <c r="AQ12" s="43">
        <v>0</v>
      </c>
      <c r="AR12" s="43">
        <v>0</v>
      </c>
      <c r="AS12" s="43">
        <v>0</v>
      </c>
      <c r="AT12" s="43">
        <v>0</v>
      </c>
      <c r="AU12" s="43">
        <v>0</v>
      </c>
      <c r="AV12" s="43">
        <v>0</v>
      </c>
      <c r="AW12" s="43">
        <v>0</v>
      </c>
      <c r="AX12" s="43">
        <v>0</v>
      </c>
      <c r="AY12" s="43">
        <v>0</v>
      </c>
      <c r="AZ12" s="43">
        <v>0</v>
      </c>
      <c r="BA12" s="43">
        <v>0</v>
      </c>
      <c r="BB12" s="43">
        <v>0</v>
      </c>
      <c r="BC12" s="43">
        <v>0</v>
      </c>
      <c r="BD12" s="43">
        <v>0</v>
      </c>
      <c r="BE12" s="43">
        <v>0</v>
      </c>
      <c r="BF12" s="43">
        <v>0</v>
      </c>
      <c r="BG12" s="43">
        <v>0</v>
      </c>
      <c r="BH12" s="43">
        <v>0</v>
      </c>
      <c r="BI12" s="43">
        <v>0</v>
      </c>
      <c r="BJ12" s="43">
        <v>0</v>
      </c>
      <c r="BK12" s="43">
        <v>0</v>
      </c>
      <c r="BL12" s="43">
        <v>0</v>
      </c>
      <c r="BM12" s="43">
        <v>0</v>
      </c>
      <c r="BN12" s="43">
        <v>0</v>
      </c>
      <c r="BO12" s="43">
        <v>0</v>
      </c>
      <c r="BP12" s="43">
        <v>0</v>
      </c>
      <c r="BQ12" s="43">
        <v>0</v>
      </c>
      <c r="BR12" s="43">
        <v>0</v>
      </c>
      <c r="BS12" s="43">
        <v>0</v>
      </c>
      <c r="BT12" s="43">
        <v>0</v>
      </c>
      <c r="BU12" s="43">
        <v>0</v>
      </c>
      <c r="BV12" s="43">
        <v>0</v>
      </c>
      <c r="BW12" s="43">
        <v>0</v>
      </c>
      <c r="BX12" s="43">
        <v>0</v>
      </c>
      <c r="BY12" s="43">
        <v>0</v>
      </c>
      <c r="BZ12" s="43">
        <v>0</v>
      </c>
    </row>
    <row r="13" spans="1:78" hidden="1" x14ac:dyDescent="0.25">
      <c r="A13" s="61" t="s">
        <v>92</v>
      </c>
      <c r="B13" s="35">
        <v>3</v>
      </c>
      <c r="C13" s="8" t="s">
        <v>30</v>
      </c>
      <c r="D13" s="7">
        <v>1018</v>
      </c>
      <c r="E13" s="63">
        <f>SUM(Q13:BZ13)</f>
        <v>0</v>
      </c>
      <c r="F13" s="5" t="s">
        <v>55</v>
      </c>
      <c r="G13" s="10"/>
      <c r="H13" s="49"/>
      <c r="I13" s="35"/>
      <c r="J13" s="35"/>
      <c r="K13" s="35"/>
      <c r="L13" s="9"/>
      <c r="M13" s="53"/>
      <c r="N13" s="53"/>
      <c r="O13" s="53"/>
      <c r="P13" s="5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</row>
    <row r="14" spans="1:78" hidden="1" x14ac:dyDescent="0.25">
      <c r="A14" s="61" t="s">
        <v>93</v>
      </c>
      <c r="B14" s="35">
        <v>3</v>
      </c>
      <c r="C14" s="8" t="s">
        <v>30</v>
      </c>
      <c r="D14" s="7">
        <v>1018</v>
      </c>
      <c r="E14" s="64">
        <f>E13-E12</f>
        <v>-1099.95162</v>
      </c>
      <c r="F14" s="5" t="s">
        <v>55</v>
      </c>
      <c r="G14" s="50"/>
      <c r="H14" s="49"/>
      <c r="I14" s="35"/>
      <c r="J14" s="35"/>
      <c r="K14" s="35"/>
      <c r="L14" s="9"/>
      <c r="M14" s="53"/>
      <c r="N14" s="53"/>
      <c r="O14" s="53"/>
      <c r="P14" s="5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</row>
    <row r="15" spans="1:78" hidden="1" x14ac:dyDescent="0.25">
      <c r="A15" s="61" t="s">
        <v>91</v>
      </c>
      <c r="B15" s="35">
        <v>4</v>
      </c>
      <c r="C15" s="8" t="s">
        <v>31</v>
      </c>
      <c r="D15" s="7">
        <v>1018</v>
      </c>
      <c r="E15" s="9">
        <v>142.79316000000003</v>
      </c>
      <c r="F15" s="5" t="s">
        <v>55</v>
      </c>
      <c r="G15" s="10">
        <v>13.299674285714287</v>
      </c>
      <c r="H15" s="49">
        <v>21</v>
      </c>
      <c r="I15" s="35">
        <v>136.5</v>
      </c>
      <c r="J15" s="35">
        <v>2</v>
      </c>
      <c r="K15" s="35">
        <v>252</v>
      </c>
      <c r="L15" s="9">
        <v>13.299674285714287</v>
      </c>
      <c r="M15" s="53">
        <v>157.22938482803261</v>
      </c>
      <c r="N15" s="53">
        <v>170.52905911374688</v>
      </c>
      <c r="O15" s="53">
        <v>13.299674285714275</v>
      </c>
      <c r="P15" s="53">
        <v>170.52905911374688</v>
      </c>
      <c r="Q15" s="43">
        <v>1</v>
      </c>
      <c r="R15" s="43">
        <v>1</v>
      </c>
      <c r="S15" s="43">
        <v>1</v>
      </c>
      <c r="T15" s="43">
        <v>1</v>
      </c>
      <c r="U15" s="43">
        <v>1</v>
      </c>
      <c r="V15" s="43">
        <v>1</v>
      </c>
      <c r="W15" s="43">
        <v>1</v>
      </c>
      <c r="X15" s="43">
        <v>1</v>
      </c>
      <c r="Y15" s="43">
        <v>1</v>
      </c>
      <c r="Z15" s="43">
        <v>1</v>
      </c>
      <c r="AA15" s="43">
        <v>1</v>
      </c>
      <c r="AB15" s="43">
        <v>1</v>
      </c>
      <c r="AC15" s="43">
        <v>1</v>
      </c>
      <c r="AD15" s="43">
        <v>1</v>
      </c>
      <c r="AE15" s="43">
        <v>252</v>
      </c>
      <c r="AF15" s="43">
        <v>0</v>
      </c>
      <c r="AG15" s="43">
        <v>0</v>
      </c>
      <c r="AH15" s="43">
        <v>0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  <c r="AO15" s="43">
        <v>0</v>
      </c>
      <c r="AP15" s="43">
        <v>0</v>
      </c>
      <c r="AQ15" s="43">
        <v>0</v>
      </c>
      <c r="AR15" s="43">
        <v>0</v>
      </c>
      <c r="AS15" s="43">
        <v>0</v>
      </c>
      <c r="AT15" s="43">
        <v>0</v>
      </c>
      <c r="AU15" s="43">
        <v>0</v>
      </c>
      <c r="AV15" s="43">
        <v>0</v>
      </c>
      <c r="AW15" s="43">
        <v>0</v>
      </c>
      <c r="AX15" s="43">
        <v>0</v>
      </c>
      <c r="AY15" s="43">
        <v>0</v>
      </c>
      <c r="AZ15" s="43">
        <v>0</v>
      </c>
      <c r="BA15" s="43">
        <v>0</v>
      </c>
      <c r="BB15" s="43">
        <v>0</v>
      </c>
      <c r="BC15" s="43">
        <v>0</v>
      </c>
      <c r="BD15" s="43">
        <v>0</v>
      </c>
      <c r="BE15" s="43">
        <v>0</v>
      </c>
      <c r="BF15" s="43">
        <v>0</v>
      </c>
      <c r="BG15" s="43">
        <v>0</v>
      </c>
      <c r="BH15" s="43">
        <v>0</v>
      </c>
      <c r="BI15" s="43">
        <v>0</v>
      </c>
      <c r="BJ15" s="43">
        <v>0</v>
      </c>
      <c r="BK15" s="43">
        <v>0</v>
      </c>
      <c r="BL15" s="43">
        <v>0</v>
      </c>
      <c r="BM15" s="43">
        <v>0</v>
      </c>
      <c r="BN15" s="43">
        <v>0</v>
      </c>
      <c r="BO15" s="43">
        <v>0</v>
      </c>
      <c r="BP15" s="43">
        <v>0</v>
      </c>
      <c r="BQ15" s="43">
        <v>0</v>
      </c>
      <c r="BR15" s="43">
        <v>0</v>
      </c>
      <c r="BS15" s="43">
        <v>0</v>
      </c>
      <c r="BT15" s="43">
        <v>0</v>
      </c>
      <c r="BU15" s="43">
        <v>0</v>
      </c>
      <c r="BV15" s="43">
        <v>0</v>
      </c>
      <c r="BW15" s="43">
        <v>0</v>
      </c>
      <c r="BX15" s="43">
        <v>0</v>
      </c>
      <c r="BY15" s="43">
        <v>0</v>
      </c>
      <c r="BZ15" s="43">
        <v>0</v>
      </c>
    </row>
    <row r="16" spans="1:78" hidden="1" x14ac:dyDescent="0.25">
      <c r="A16" s="61" t="s">
        <v>92</v>
      </c>
      <c r="B16" s="35">
        <v>4</v>
      </c>
      <c r="C16" s="8" t="s">
        <v>31</v>
      </c>
      <c r="D16" s="7">
        <v>1018</v>
      </c>
      <c r="E16" s="63">
        <f>SUM(Q16:BZ16)</f>
        <v>0</v>
      </c>
      <c r="F16" s="5" t="s">
        <v>55</v>
      </c>
      <c r="G16" s="50"/>
      <c r="H16" s="49"/>
      <c r="I16" s="35"/>
      <c r="J16" s="35"/>
      <c r="K16" s="35"/>
      <c r="L16" s="9"/>
      <c r="M16" s="53"/>
      <c r="N16" s="53"/>
      <c r="O16" s="53"/>
      <c r="P16" s="5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</row>
    <row r="17" spans="1:78" hidden="1" x14ac:dyDescent="0.25">
      <c r="A17" s="61" t="s">
        <v>93</v>
      </c>
      <c r="B17" s="35">
        <v>4</v>
      </c>
      <c r="C17" s="8" t="s">
        <v>31</v>
      </c>
      <c r="D17" s="7">
        <v>1018</v>
      </c>
      <c r="E17" s="64">
        <f>E16-E15</f>
        <v>-142.79316000000003</v>
      </c>
      <c r="F17" s="5" t="s">
        <v>55</v>
      </c>
      <c r="G17" s="35"/>
      <c r="H17" s="35"/>
      <c r="I17" s="35"/>
      <c r="J17" s="35"/>
      <c r="K17" s="35"/>
      <c r="L17" s="35"/>
      <c r="M17" s="36"/>
      <c r="N17" s="36"/>
      <c r="O17" s="36"/>
      <c r="P17" s="36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</row>
    <row r="18" spans="1:78" hidden="1" x14ac:dyDescent="0.25">
      <c r="A18" s="61" t="s">
        <v>91</v>
      </c>
      <c r="B18" s="35">
        <v>6</v>
      </c>
      <c r="C18" s="8" t="s">
        <v>34</v>
      </c>
      <c r="D18" s="7">
        <v>1018</v>
      </c>
      <c r="E18" s="9">
        <v>1736.2622799999999</v>
      </c>
      <c r="F18" s="5" t="s">
        <v>55</v>
      </c>
      <c r="G18" s="50">
        <v>88.179156190476192</v>
      </c>
      <c r="H18" s="49">
        <v>21</v>
      </c>
      <c r="I18" s="35">
        <v>115.5</v>
      </c>
      <c r="J18" s="35">
        <v>2</v>
      </c>
      <c r="K18" s="35">
        <v>252</v>
      </c>
      <c r="L18" s="9">
        <v>88.179156190476192</v>
      </c>
      <c r="M18" s="53">
        <v>170.52905911374688</v>
      </c>
      <c r="N18" s="53">
        <v>258.70821530422307</v>
      </c>
      <c r="O18" s="53">
        <v>88.179156190476192</v>
      </c>
      <c r="P18" s="53">
        <v>258.70821530422307</v>
      </c>
      <c r="Q18" s="43">
        <v>1</v>
      </c>
      <c r="R18" s="43">
        <v>1</v>
      </c>
      <c r="S18" s="43">
        <v>1</v>
      </c>
      <c r="T18" s="43">
        <v>1</v>
      </c>
      <c r="U18" s="43">
        <v>1</v>
      </c>
      <c r="V18" s="43">
        <v>1</v>
      </c>
      <c r="W18" s="43">
        <v>1</v>
      </c>
      <c r="X18" s="43">
        <v>1</v>
      </c>
      <c r="Y18" s="43">
        <v>1</v>
      </c>
      <c r="Z18" s="43">
        <v>1</v>
      </c>
      <c r="AA18" s="43">
        <v>1</v>
      </c>
      <c r="AB18" s="43">
        <v>1</v>
      </c>
      <c r="AC18" s="43">
        <v>1</v>
      </c>
      <c r="AD18" s="43">
        <v>1</v>
      </c>
      <c r="AE18" s="43">
        <v>1</v>
      </c>
      <c r="AF18" s="43">
        <v>252</v>
      </c>
      <c r="AG18" s="43">
        <v>252</v>
      </c>
      <c r="AH18" s="43">
        <v>252</v>
      </c>
      <c r="AI18" s="43">
        <v>252</v>
      </c>
      <c r="AJ18" s="43">
        <v>252</v>
      </c>
      <c r="AK18" s="43">
        <v>252</v>
      </c>
      <c r="AL18" s="43">
        <v>252</v>
      </c>
      <c r="AM18" s="43">
        <v>0</v>
      </c>
      <c r="AN18" s="43">
        <v>0</v>
      </c>
      <c r="AO18" s="43">
        <v>0</v>
      </c>
      <c r="AP18" s="43">
        <v>0</v>
      </c>
      <c r="AQ18" s="43">
        <v>0</v>
      </c>
      <c r="AR18" s="43">
        <v>0</v>
      </c>
      <c r="AS18" s="43">
        <v>0</v>
      </c>
      <c r="AT18" s="43">
        <v>0</v>
      </c>
      <c r="AU18" s="43">
        <v>0</v>
      </c>
      <c r="AV18" s="43">
        <v>0</v>
      </c>
      <c r="AW18" s="43">
        <v>0</v>
      </c>
      <c r="AX18" s="43">
        <v>0</v>
      </c>
      <c r="AY18" s="43">
        <v>0</v>
      </c>
      <c r="AZ18" s="43">
        <v>0</v>
      </c>
      <c r="BA18" s="43">
        <v>0</v>
      </c>
      <c r="BB18" s="43">
        <v>0</v>
      </c>
      <c r="BC18" s="43">
        <v>0</v>
      </c>
      <c r="BD18" s="43">
        <v>0</v>
      </c>
      <c r="BE18" s="43">
        <v>0</v>
      </c>
      <c r="BF18" s="43">
        <v>0</v>
      </c>
      <c r="BG18" s="43">
        <v>0</v>
      </c>
      <c r="BH18" s="43">
        <v>0</v>
      </c>
      <c r="BI18" s="43">
        <v>0</v>
      </c>
      <c r="BJ18" s="43">
        <v>0</v>
      </c>
      <c r="BK18" s="43">
        <v>0</v>
      </c>
      <c r="BL18" s="43">
        <v>0</v>
      </c>
      <c r="BM18" s="43">
        <v>0</v>
      </c>
      <c r="BN18" s="43">
        <v>0</v>
      </c>
      <c r="BO18" s="43">
        <v>0</v>
      </c>
      <c r="BP18" s="43">
        <v>0</v>
      </c>
      <c r="BQ18" s="43">
        <v>0</v>
      </c>
      <c r="BR18" s="43">
        <v>0</v>
      </c>
      <c r="BS18" s="43">
        <v>0</v>
      </c>
      <c r="BT18" s="43">
        <v>0</v>
      </c>
      <c r="BU18" s="43">
        <v>0</v>
      </c>
      <c r="BV18" s="43">
        <v>0</v>
      </c>
      <c r="BW18" s="43">
        <v>0</v>
      </c>
      <c r="BX18" s="43">
        <v>0</v>
      </c>
      <c r="BY18" s="43">
        <v>0</v>
      </c>
      <c r="BZ18" s="43">
        <v>0</v>
      </c>
    </row>
    <row r="19" spans="1:78" hidden="1" x14ac:dyDescent="0.25">
      <c r="A19" s="61" t="s">
        <v>92</v>
      </c>
      <c r="B19" s="35">
        <v>6</v>
      </c>
      <c r="C19" s="8" t="s">
        <v>34</v>
      </c>
      <c r="D19" s="7">
        <v>1018</v>
      </c>
      <c r="E19" s="63">
        <f>SUM(Q19:BZ19)</f>
        <v>0</v>
      </c>
      <c r="F19" s="5" t="s">
        <v>55</v>
      </c>
      <c r="G19" s="35"/>
      <c r="H19" s="35"/>
      <c r="I19" s="35"/>
      <c r="J19" s="35"/>
      <c r="K19" s="35"/>
      <c r="L19" s="35"/>
      <c r="M19" s="36"/>
      <c r="N19" s="36"/>
      <c r="O19" s="36"/>
      <c r="P19" s="36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</row>
    <row r="20" spans="1:78" hidden="1" x14ac:dyDescent="0.25">
      <c r="A20" s="61" t="s">
        <v>93</v>
      </c>
      <c r="B20" s="35">
        <v>6</v>
      </c>
      <c r="C20" s="8" t="s">
        <v>34</v>
      </c>
      <c r="D20" s="7">
        <v>1018</v>
      </c>
      <c r="E20" s="64">
        <f>E19-E18</f>
        <v>-1736.2622799999999</v>
      </c>
      <c r="F20" s="5" t="s">
        <v>55</v>
      </c>
      <c r="G20" s="10"/>
      <c r="H20" s="49"/>
      <c r="I20" s="35"/>
      <c r="J20" s="35"/>
      <c r="K20" s="35"/>
      <c r="L20" s="9"/>
      <c r="M20" s="60"/>
      <c r="N20" s="60"/>
      <c r="O20" s="60"/>
      <c r="P20" s="60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</row>
    <row r="21" spans="1:78" hidden="1" x14ac:dyDescent="0.25">
      <c r="A21" s="61" t="s">
        <v>91</v>
      </c>
      <c r="B21" s="35">
        <v>8</v>
      </c>
      <c r="C21" s="8" t="s">
        <v>35</v>
      </c>
      <c r="D21" s="7">
        <v>1018</v>
      </c>
      <c r="E21" s="9">
        <v>392.76242000000002</v>
      </c>
      <c r="F21" s="5" t="s">
        <v>55</v>
      </c>
      <c r="G21" s="35">
        <v>24.202972380952382</v>
      </c>
      <c r="H21" s="35">
        <v>21</v>
      </c>
      <c r="I21" s="35">
        <v>115.5</v>
      </c>
      <c r="J21" s="35">
        <v>2</v>
      </c>
      <c r="K21" s="35">
        <v>252</v>
      </c>
      <c r="L21" s="35">
        <v>24.202972380952382</v>
      </c>
      <c r="M21" s="36">
        <v>258.70821530422307</v>
      </c>
      <c r="N21" s="36">
        <v>282.91118768517543</v>
      </c>
      <c r="O21" s="36">
        <v>24.20297238095236</v>
      </c>
      <c r="P21" s="36">
        <v>282.91118768517543</v>
      </c>
      <c r="Q21" s="43">
        <v>1</v>
      </c>
      <c r="R21" s="43">
        <v>1</v>
      </c>
      <c r="S21" s="43">
        <v>1</v>
      </c>
      <c r="T21" s="43">
        <v>1</v>
      </c>
      <c r="U21" s="43">
        <v>1</v>
      </c>
      <c r="V21" s="43">
        <v>1</v>
      </c>
      <c r="W21" s="43">
        <v>1</v>
      </c>
      <c r="X21" s="43">
        <v>1</v>
      </c>
      <c r="Y21" s="43">
        <v>1</v>
      </c>
      <c r="Z21" s="43">
        <v>1</v>
      </c>
      <c r="AA21" s="43">
        <v>1</v>
      </c>
      <c r="AB21" s="43">
        <v>1</v>
      </c>
      <c r="AC21" s="43">
        <v>1</v>
      </c>
      <c r="AD21" s="43">
        <v>1</v>
      </c>
      <c r="AE21" s="43">
        <v>1</v>
      </c>
      <c r="AF21" s="43">
        <v>1</v>
      </c>
      <c r="AG21" s="43">
        <v>1</v>
      </c>
      <c r="AH21" s="43">
        <v>1</v>
      </c>
      <c r="AI21" s="43">
        <v>1</v>
      </c>
      <c r="AJ21" s="43">
        <v>1</v>
      </c>
      <c r="AK21" s="43">
        <v>1</v>
      </c>
      <c r="AL21" s="43">
        <v>1</v>
      </c>
      <c r="AM21" s="43">
        <v>252</v>
      </c>
      <c r="AN21" s="43">
        <v>252</v>
      </c>
      <c r="AO21" s="43">
        <v>0</v>
      </c>
      <c r="AP21" s="43">
        <v>0</v>
      </c>
      <c r="AQ21" s="43">
        <v>0</v>
      </c>
      <c r="AR21" s="43">
        <v>0</v>
      </c>
      <c r="AS21" s="43">
        <v>0</v>
      </c>
      <c r="AT21" s="43">
        <v>0</v>
      </c>
      <c r="AU21" s="43">
        <v>0</v>
      </c>
      <c r="AV21" s="43">
        <v>0</v>
      </c>
      <c r="AW21" s="43">
        <v>0</v>
      </c>
      <c r="AX21" s="43">
        <v>0</v>
      </c>
      <c r="AY21" s="43">
        <v>0</v>
      </c>
      <c r="AZ21" s="43">
        <v>0</v>
      </c>
      <c r="BA21" s="43">
        <v>0</v>
      </c>
      <c r="BB21" s="43">
        <v>0</v>
      </c>
      <c r="BC21" s="43">
        <v>0</v>
      </c>
      <c r="BD21" s="43">
        <v>0</v>
      </c>
      <c r="BE21" s="43">
        <v>0</v>
      </c>
      <c r="BF21" s="43">
        <v>0</v>
      </c>
      <c r="BG21" s="43">
        <v>0</v>
      </c>
      <c r="BH21" s="43">
        <v>0</v>
      </c>
      <c r="BI21" s="43">
        <v>0</v>
      </c>
      <c r="BJ21" s="43">
        <v>0</v>
      </c>
      <c r="BK21" s="43">
        <v>0</v>
      </c>
      <c r="BL21" s="43">
        <v>0</v>
      </c>
      <c r="BM21" s="43">
        <v>0</v>
      </c>
      <c r="BN21" s="43">
        <v>0</v>
      </c>
      <c r="BO21" s="43">
        <v>0</v>
      </c>
      <c r="BP21" s="43">
        <v>0</v>
      </c>
      <c r="BQ21" s="43">
        <v>0</v>
      </c>
      <c r="BR21" s="43">
        <v>0</v>
      </c>
      <c r="BS21" s="43">
        <v>0</v>
      </c>
      <c r="BT21" s="43">
        <v>0</v>
      </c>
      <c r="BU21" s="43">
        <v>0</v>
      </c>
      <c r="BV21" s="43">
        <v>0</v>
      </c>
      <c r="BW21" s="43">
        <v>0</v>
      </c>
      <c r="BX21" s="43">
        <v>0</v>
      </c>
      <c r="BY21" s="43">
        <v>0</v>
      </c>
      <c r="BZ21" s="43">
        <v>0</v>
      </c>
    </row>
    <row r="22" spans="1:78" hidden="1" x14ac:dyDescent="0.25">
      <c r="A22" s="61" t="s">
        <v>92</v>
      </c>
      <c r="B22" s="35">
        <v>8</v>
      </c>
      <c r="C22" s="8" t="s">
        <v>35</v>
      </c>
      <c r="D22" s="7">
        <v>1018</v>
      </c>
      <c r="E22" s="63">
        <f>SUM(Q22:BZ22)</f>
        <v>0</v>
      </c>
      <c r="F22" s="5" t="s">
        <v>55</v>
      </c>
      <c r="G22" s="10"/>
      <c r="H22" s="49"/>
      <c r="I22" s="35"/>
      <c r="J22" s="35"/>
      <c r="K22" s="35"/>
      <c r="L22" s="9"/>
      <c r="M22" s="60"/>
      <c r="N22" s="60"/>
      <c r="O22" s="60"/>
      <c r="P22" s="60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</row>
    <row r="23" spans="1:78" hidden="1" x14ac:dyDescent="0.25">
      <c r="A23" s="61" t="s">
        <v>93</v>
      </c>
      <c r="B23" s="35">
        <v>8</v>
      </c>
      <c r="C23" s="8" t="s">
        <v>35</v>
      </c>
      <c r="D23" s="7">
        <v>1018</v>
      </c>
      <c r="E23" s="64">
        <f>E22-E21</f>
        <v>-392.76242000000002</v>
      </c>
      <c r="F23" s="5" t="s">
        <v>55</v>
      </c>
      <c r="G23" s="50"/>
      <c r="H23" s="49"/>
      <c r="I23" s="35"/>
      <c r="J23" s="35"/>
      <c r="K23" s="35"/>
      <c r="L23" s="9"/>
      <c r="M23" s="53"/>
      <c r="N23" s="53"/>
      <c r="O23" s="53"/>
      <c r="P23" s="5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</row>
    <row r="24" spans="1:78" hidden="1" x14ac:dyDescent="0.25">
      <c r="A24" s="61" t="s">
        <v>91</v>
      </c>
      <c r="B24" s="35">
        <v>10</v>
      </c>
      <c r="C24" s="8" t="s">
        <v>15</v>
      </c>
      <c r="D24" s="7">
        <v>1018</v>
      </c>
      <c r="E24" s="9">
        <v>215.43992431409646</v>
      </c>
      <c r="F24" s="5" t="s">
        <v>55</v>
      </c>
      <c r="G24" s="10">
        <v>36.953327026174705</v>
      </c>
      <c r="H24" s="49">
        <v>12</v>
      </c>
      <c r="I24" s="35">
        <v>228</v>
      </c>
      <c r="J24" s="35">
        <v>4</v>
      </c>
      <c r="K24" s="35">
        <v>144</v>
      </c>
      <c r="L24" s="9">
        <v>36.953327026174705</v>
      </c>
      <c r="M24" s="53">
        <v>282.91118768517543</v>
      </c>
      <c r="N24" s="53">
        <v>319.86451471135013</v>
      </c>
      <c r="O24" s="53">
        <v>36.953327026174691</v>
      </c>
      <c r="P24" s="53">
        <v>319.86451471135013</v>
      </c>
      <c r="Q24" s="43">
        <v>1</v>
      </c>
      <c r="R24" s="43">
        <v>1</v>
      </c>
      <c r="S24" s="43">
        <v>1</v>
      </c>
      <c r="T24" s="43">
        <v>1</v>
      </c>
      <c r="U24" s="43">
        <v>1</v>
      </c>
      <c r="V24" s="43">
        <v>1</v>
      </c>
      <c r="W24" s="43">
        <v>1</v>
      </c>
      <c r="X24" s="43">
        <v>1</v>
      </c>
      <c r="Y24" s="43">
        <v>1</v>
      </c>
      <c r="Z24" s="43">
        <v>1</v>
      </c>
      <c r="AA24" s="43">
        <v>1</v>
      </c>
      <c r="AB24" s="43">
        <v>1</v>
      </c>
      <c r="AC24" s="43">
        <v>1</v>
      </c>
      <c r="AD24" s="43">
        <v>1</v>
      </c>
      <c r="AE24" s="43">
        <v>1</v>
      </c>
      <c r="AF24" s="43">
        <v>1</v>
      </c>
      <c r="AG24" s="43">
        <v>1</v>
      </c>
      <c r="AH24" s="43">
        <v>1</v>
      </c>
      <c r="AI24" s="43">
        <v>1</v>
      </c>
      <c r="AJ24" s="43">
        <v>1</v>
      </c>
      <c r="AK24" s="43">
        <v>1</v>
      </c>
      <c r="AL24" s="43">
        <v>1</v>
      </c>
      <c r="AM24" s="43">
        <v>1</v>
      </c>
      <c r="AN24" s="43">
        <v>1</v>
      </c>
      <c r="AO24" s="43">
        <v>144</v>
      </c>
      <c r="AP24" s="43">
        <v>144</v>
      </c>
      <c r="AQ24" s="43">
        <v>144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  <c r="AX24" s="43">
        <v>0</v>
      </c>
      <c r="AY24" s="43">
        <v>0</v>
      </c>
      <c r="AZ24" s="43">
        <v>0</v>
      </c>
      <c r="BA24" s="43">
        <v>0</v>
      </c>
      <c r="BB24" s="43">
        <v>0</v>
      </c>
      <c r="BC24" s="43">
        <v>0</v>
      </c>
      <c r="BD24" s="43">
        <v>0</v>
      </c>
      <c r="BE24" s="43">
        <v>0</v>
      </c>
      <c r="BF24" s="43">
        <v>0</v>
      </c>
      <c r="BG24" s="43">
        <v>0</v>
      </c>
      <c r="BH24" s="43">
        <v>0</v>
      </c>
      <c r="BI24" s="43">
        <v>0</v>
      </c>
      <c r="BJ24" s="43">
        <v>0</v>
      </c>
      <c r="BK24" s="43">
        <v>0</v>
      </c>
      <c r="BL24" s="43">
        <v>0</v>
      </c>
      <c r="BM24" s="43">
        <v>0</v>
      </c>
      <c r="BN24" s="43">
        <v>0</v>
      </c>
      <c r="BO24" s="43">
        <v>0</v>
      </c>
      <c r="BP24" s="43">
        <v>0</v>
      </c>
      <c r="BQ24" s="43">
        <v>0</v>
      </c>
      <c r="BR24" s="43">
        <v>0</v>
      </c>
      <c r="BS24" s="43">
        <v>0</v>
      </c>
      <c r="BT24" s="43">
        <v>0</v>
      </c>
      <c r="BU24" s="43">
        <v>0</v>
      </c>
      <c r="BV24" s="43">
        <v>0</v>
      </c>
      <c r="BW24" s="43">
        <v>0</v>
      </c>
      <c r="BX24" s="43">
        <v>0</v>
      </c>
      <c r="BY24" s="43">
        <v>0</v>
      </c>
      <c r="BZ24" s="43">
        <v>0</v>
      </c>
    </row>
    <row r="25" spans="1:78" hidden="1" x14ac:dyDescent="0.25">
      <c r="A25" s="61" t="s">
        <v>92</v>
      </c>
      <c r="B25" s="35">
        <v>10</v>
      </c>
      <c r="C25" s="8" t="s">
        <v>15</v>
      </c>
      <c r="D25" s="7">
        <v>1018</v>
      </c>
      <c r="E25" s="63">
        <f>SUM(Q25:BZ25)</f>
        <v>0</v>
      </c>
      <c r="F25" s="5" t="s">
        <v>55</v>
      </c>
      <c r="G25" s="50"/>
      <c r="H25" s="49"/>
      <c r="I25" s="35"/>
      <c r="J25" s="35"/>
      <c r="K25" s="35"/>
      <c r="L25" s="9"/>
      <c r="M25" s="53"/>
      <c r="N25" s="53"/>
      <c r="O25" s="53"/>
      <c r="P25" s="5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</row>
    <row r="26" spans="1:78" hidden="1" x14ac:dyDescent="0.25">
      <c r="A26" s="61" t="s">
        <v>93</v>
      </c>
      <c r="B26" s="35">
        <v>10</v>
      </c>
      <c r="C26" s="8" t="s">
        <v>15</v>
      </c>
      <c r="D26" s="7">
        <v>1018</v>
      </c>
      <c r="E26" s="64">
        <f>E25-E24</f>
        <v>-215.43992431409646</v>
      </c>
      <c r="F26" s="5" t="s">
        <v>55</v>
      </c>
      <c r="G26" s="35"/>
      <c r="H26" s="62"/>
      <c r="I26" s="35"/>
      <c r="J26" s="35"/>
      <c r="K26" s="35"/>
      <c r="L26" s="35"/>
      <c r="M26" s="36"/>
      <c r="N26" s="36"/>
      <c r="O26" s="36"/>
      <c r="P26" s="36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</row>
    <row r="27" spans="1:78" hidden="1" x14ac:dyDescent="0.25">
      <c r="A27" s="61" t="s">
        <v>91</v>
      </c>
      <c r="B27" s="35">
        <v>19</v>
      </c>
      <c r="C27" s="8" t="s">
        <v>58</v>
      </c>
      <c r="D27" s="7">
        <v>1018</v>
      </c>
      <c r="E27" s="9">
        <v>808.7801147227533</v>
      </c>
      <c r="F27" s="5" t="s">
        <v>55</v>
      </c>
      <c r="G27" s="50">
        <v>44.013338796321584</v>
      </c>
      <c r="H27" s="49">
        <v>21</v>
      </c>
      <c r="I27" s="35">
        <v>115.5</v>
      </c>
      <c r="J27" s="35">
        <v>2.5</v>
      </c>
      <c r="K27" s="35">
        <v>252</v>
      </c>
      <c r="L27" s="9">
        <v>44.013338796321584</v>
      </c>
      <c r="M27" s="53">
        <v>319.86451471135013</v>
      </c>
      <c r="N27" s="53">
        <v>363.87785350767172</v>
      </c>
      <c r="O27" s="53">
        <v>44.013338796321591</v>
      </c>
      <c r="P27" s="53">
        <v>363.87785350767172</v>
      </c>
      <c r="Q27" s="43">
        <v>1</v>
      </c>
      <c r="R27" s="43">
        <v>1</v>
      </c>
      <c r="S27" s="43">
        <v>1</v>
      </c>
      <c r="T27" s="43">
        <v>1</v>
      </c>
      <c r="U27" s="43">
        <v>1</v>
      </c>
      <c r="V27" s="43">
        <v>1</v>
      </c>
      <c r="W27" s="43">
        <v>1</v>
      </c>
      <c r="X27" s="43">
        <v>1</v>
      </c>
      <c r="Y27" s="43">
        <v>1</v>
      </c>
      <c r="Z27" s="43">
        <v>1</v>
      </c>
      <c r="AA27" s="43">
        <v>1</v>
      </c>
      <c r="AB27" s="43">
        <v>1</v>
      </c>
      <c r="AC27" s="43">
        <v>1</v>
      </c>
      <c r="AD27" s="43">
        <v>1</v>
      </c>
      <c r="AE27" s="43">
        <v>1</v>
      </c>
      <c r="AF27" s="43">
        <v>1</v>
      </c>
      <c r="AG27" s="43">
        <v>1</v>
      </c>
      <c r="AH27" s="43">
        <v>1</v>
      </c>
      <c r="AI27" s="43">
        <v>1</v>
      </c>
      <c r="AJ27" s="43">
        <v>1</v>
      </c>
      <c r="AK27" s="43">
        <v>1</v>
      </c>
      <c r="AL27" s="43">
        <v>1</v>
      </c>
      <c r="AM27" s="43">
        <v>1</v>
      </c>
      <c r="AN27" s="43">
        <v>1</v>
      </c>
      <c r="AO27" s="43">
        <v>1</v>
      </c>
      <c r="AP27" s="43">
        <v>1</v>
      </c>
      <c r="AQ27" s="43">
        <v>1</v>
      </c>
      <c r="AR27" s="43">
        <v>252</v>
      </c>
      <c r="AS27" s="43">
        <v>252</v>
      </c>
      <c r="AT27" s="43">
        <v>252</v>
      </c>
      <c r="AU27" s="43">
        <v>252</v>
      </c>
      <c r="AV27" s="43">
        <v>0</v>
      </c>
      <c r="AW27" s="43">
        <v>0</v>
      </c>
      <c r="AX27" s="43">
        <v>0</v>
      </c>
      <c r="AY27" s="43">
        <v>0</v>
      </c>
      <c r="AZ27" s="43">
        <v>0</v>
      </c>
      <c r="BA27" s="43">
        <v>0</v>
      </c>
      <c r="BB27" s="43">
        <v>0</v>
      </c>
      <c r="BC27" s="43">
        <v>0</v>
      </c>
      <c r="BD27" s="43">
        <v>0</v>
      </c>
      <c r="BE27" s="43">
        <v>0</v>
      </c>
      <c r="BF27" s="43">
        <v>0</v>
      </c>
      <c r="BG27" s="43">
        <v>0</v>
      </c>
      <c r="BH27" s="43">
        <v>0</v>
      </c>
      <c r="BI27" s="43">
        <v>0</v>
      </c>
      <c r="BJ27" s="43">
        <v>0</v>
      </c>
      <c r="BK27" s="43">
        <v>0</v>
      </c>
      <c r="BL27" s="43">
        <v>0</v>
      </c>
      <c r="BM27" s="43">
        <v>0</v>
      </c>
      <c r="BN27" s="43">
        <v>0</v>
      </c>
      <c r="BO27" s="43">
        <v>0</v>
      </c>
      <c r="BP27" s="43">
        <v>0</v>
      </c>
      <c r="BQ27" s="43">
        <v>0</v>
      </c>
      <c r="BR27" s="43">
        <v>0</v>
      </c>
      <c r="BS27" s="43">
        <v>0</v>
      </c>
      <c r="BT27" s="43">
        <v>0</v>
      </c>
      <c r="BU27" s="43">
        <v>0</v>
      </c>
      <c r="BV27" s="43">
        <v>0</v>
      </c>
      <c r="BW27" s="43">
        <v>0</v>
      </c>
      <c r="BX27" s="43">
        <v>0</v>
      </c>
      <c r="BY27" s="43">
        <v>0</v>
      </c>
      <c r="BZ27" s="43">
        <v>0</v>
      </c>
    </row>
    <row r="28" spans="1:78" hidden="1" x14ac:dyDescent="0.25">
      <c r="A28" s="61" t="s">
        <v>92</v>
      </c>
      <c r="B28" s="35">
        <v>19</v>
      </c>
      <c r="C28" s="8" t="s">
        <v>58</v>
      </c>
      <c r="D28" s="7">
        <v>1018</v>
      </c>
      <c r="E28" s="63">
        <f>SUM(Q28:BZ28)</f>
        <v>0</v>
      </c>
      <c r="F28" s="5" t="s">
        <v>55</v>
      </c>
      <c r="G28" s="35"/>
      <c r="H28" s="35"/>
      <c r="I28" s="35"/>
      <c r="J28" s="35"/>
      <c r="K28" s="35"/>
      <c r="L28" s="35"/>
      <c r="M28" s="36"/>
      <c r="N28" s="36"/>
      <c r="O28" s="36"/>
      <c r="P28" s="36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</row>
    <row r="29" spans="1:78" hidden="1" x14ac:dyDescent="0.25">
      <c r="A29" s="61" t="s">
        <v>93</v>
      </c>
      <c r="B29" s="35">
        <v>19</v>
      </c>
      <c r="C29" s="8" t="s">
        <v>58</v>
      </c>
      <c r="D29" s="7">
        <v>1018</v>
      </c>
      <c r="E29" s="64">
        <f>E28-E27</f>
        <v>-808.7801147227533</v>
      </c>
      <c r="F29" s="5" t="s">
        <v>55</v>
      </c>
      <c r="G29" s="10"/>
      <c r="H29" s="49"/>
      <c r="I29" s="35"/>
      <c r="J29" s="35"/>
      <c r="K29" s="35"/>
      <c r="L29" s="9"/>
      <c r="M29" s="53"/>
      <c r="N29" s="53"/>
      <c r="O29" s="53"/>
      <c r="P29" s="5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</row>
    <row r="30" spans="1:78" hidden="1" x14ac:dyDescent="0.25">
      <c r="A30" s="61" t="s">
        <v>91</v>
      </c>
      <c r="B30" s="35">
        <v>20</v>
      </c>
      <c r="C30" s="8" t="s">
        <v>21</v>
      </c>
      <c r="D30" s="7">
        <v>1018</v>
      </c>
      <c r="E30" s="9">
        <v>504</v>
      </c>
      <c r="F30" s="5" t="s">
        <v>55</v>
      </c>
      <c r="G30" s="35">
        <v>30.5</v>
      </c>
      <c r="H30" s="35">
        <v>21</v>
      </c>
      <c r="I30" s="35">
        <v>136.5</v>
      </c>
      <c r="J30" s="35">
        <v>3</v>
      </c>
      <c r="K30" s="35">
        <v>252</v>
      </c>
      <c r="L30" s="35">
        <v>30.5</v>
      </c>
      <c r="M30" s="36">
        <v>363.87785350767172</v>
      </c>
      <c r="N30" s="36">
        <v>394.37785350767172</v>
      </c>
      <c r="O30" s="36">
        <v>30.5</v>
      </c>
      <c r="P30" s="36">
        <v>394.37785350767172</v>
      </c>
      <c r="Q30" s="43">
        <v>1</v>
      </c>
      <c r="R30" s="43">
        <v>1</v>
      </c>
      <c r="S30" s="43">
        <v>1</v>
      </c>
      <c r="T30" s="43">
        <v>1</v>
      </c>
      <c r="U30" s="43">
        <v>1</v>
      </c>
      <c r="V30" s="43">
        <v>1</v>
      </c>
      <c r="W30" s="43">
        <v>1</v>
      </c>
      <c r="X30" s="43">
        <v>1</v>
      </c>
      <c r="Y30" s="43">
        <v>1</v>
      </c>
      <c r="Z30" s="43">
        <v>1</v>
      </c>
      <c r="AA30" s="43">
        <v>1</v>
      </c>
      <c r="AB30" s="43">
        <v>1</v>
      </c>
      <c r="AC30" s="43">
        <v>1</v>
      </c>
      <c r="AD30" s="43">
        <v>1</v>
      </c>
      <c r="AE30" s="43">
        <v>1</v>
      </c>
      <c r="AF30" s="43">
        <v>1</v>
      </c>
      <c r="AG30" s="43">
        <v>1</v>
      </c>
      <c r="AH30" s="43">
        <v>1</v>
      </c>
      <c r="AI30" s="43">
        <v>1</v>
      </c>
      <c r="AJ30" s="43">
        <v>1</v>
      </c>
      <c r="AK30" s="43">
        <v>1</v>
      </c>
      <c r="AL30" s="43">
        <v>1</v>
      </c>
      <c r="AM30" s="43">
        <v>1</v>
      </c>
      <c r="AN30" s="43">
        <v>1</v>
      </c>
      <c r="AO30" s="43">
        <v>1</v>
      </c>
      <c r="AP30" s="43">
        <v>1</v>
      </c>
      <c r="AQ30" s="43">
        <v>1</v>
      </c>
      <c r="AR30" s="43">
        <v>1</v>
      </c>
      <c r="AS30" s="43">
        <v>1</v>
      </c>
      <c r="AT30" s="43">
        <v>1</v>
      </c>
      <c r="AU30" s="43">
        <v>1</v>
      </c>
      <c r="AV30" s="43">
        <v>252</v>
      </c>
      <c r="AW30" s="43">
        <v>252</v>
      </c>
      <c r="AX30" s="43">
        <v>0</v>
      </c>
      <c r="AY30" s="43">
        <v>0</v>
      </c>
      <c r="AZ30" s="43">
        <v>0</v>
      </c>
      <c r="BA30" s="43">
        <v>0</v>
      </c>
      <c r="BB30" s="43">
        <v>0</v>
      </c>
      <c r="BC30" s="43">
        <v>0</v>
      </c>
      <c r="BD30" s="43">
        <v>0</v>
      </c>
      <c r="BE30" s="43">
        <v>0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43">
        <v>0</v>
      </c>
      <c r="BN30" s="43">
        <v>0</v>
      </c>
      <c r="BO30" s="43">
        <v>0</v>
      </c>
      <c r="BP30" s="43">
        <v>0</v>
      </c>
      <c r="BQ30" s="43">
        <v>0</v>
      </c>
      <c r="BR30" s="43">
        <v>0</v>
      </c>
      <c r="BS30" s="43">
        <v>0</v>
      </c>
      <c r="BT30" s="43">
        <v>0</v>
      </c>
      <c r="BU30" s="43">
        <v>0</v>
      </c>
      <c r="BV30" s="43">
        <v>0</v>
      </c>
      <c r="BW30" s="43">
        <v>0</v>
      </c>
      <c r="BX30" s="43">
        <v>0</v>
      </c>
      <c r="BY30" s="43">
        <v>0</v>
      </c>
      <c r="BZ30" s="43">
        <v>0</v>
      </c>
    </row>
    <row r="31" spans="1:78" hidden="1" x14ac:dyDescent="0.25">
      <c r="A31" s="61" t="s">
        <v>92</v>
      </c>
      <c r="B31" s="35">
        <v>20</v>
      </c>
      <c r="C31" s="8" t="s">
        <v>21</v>
      </c>
      <c r="D31" s="7">
        <v>1018</v>
      </c>
      <c r="E31" s="63">
        <f>SUM(Q31:BZ31)</f>
        <v>0</v>
      </c>
      <c r="F31" s="5" t="s">
        <v>55</v>
      </c>
      <c r="G31" s="10"/>
      <c r="H31" s="49"/>
      <c r="I31" s="35"/>
      <c r="J31" s="35"/>
      <c r="K31" s="35"/>
      <c r="L31" s="9"/>
      <c r="M31" s="53"/>
      <c r="N31" s="53"/>
      <c r="O31" s="53"/>
      <c r="P31" s="5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</row>
    <row r="32" spans="1:78" hidden="1" x14ac:dyDescent="0.25">
      <c r="A32" s="61" t="s">
        <v>93</v>
      </c>
      <c r="B32" s="35">
        <v>20</v>
      </c>
      <c r="C32" s="8" t="s">
        <v>21</v>
      </c>
      <c r="D32" s="7">
        <v>1018</v>
      </c>
      <c r="E32" s="64">
        <f>E31-E30</f>
        <v>-504</v>
      </c>
      <c r="F32" s="5" t="s">
        <v>55</v>
      </c>
      <c r="G32" s="50"/>
      <c r="H32" s="49"/>
      <c r="I32" s="35"/>
      <c r="J32" s="35"/>
      <c r="K32" s="35"/>
      <c r="L32" s="9"/>
      <c r="M32" s="53"/>
      <c r="N32" s="53"/>
      <c r="O32" s="53"/>
      <c r="P32" s="5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</row>
    <row r="33" spans="1:78" hidden="1" x14ac:dyDescent="0.25">
      <c r="A33" s="61" t="s">
        <v>91</v>
      </c>
      <c r="B33" s="35">
        <v>21</v>
      </c>
      <c r="C33" s="8" t="s">
        <v>18</v>
      </c>
      <c r="D33" s="7">
        <v>1018</v>
      </c>
      <c r="E33" s="9">
        <v>2500</v>
      </c>
      <c r="F33" s="5" t="s">
        <v>55</v>
      </c>
      <c r="G33" s="10">
        <v>111.66666666666667</v>
      </c>
      <c r="H33" s="49">
        <v>24</v>
      </c>
      <c r="I33" s="35">
        <v>180</v>
      </c>
      <c r="J33" s="35">
        <v>3</v>
      </c>
      <c r="K33" s="35">
        <v>288</v>
      </c>
      <c r="L33" s="9">
        <v>111.66666666666667</v>
      </c>
      <c r="M33" s="53">
        <v>394.37785350767172</v>
      </c>
      <c r="N33" s="53">
        <v>506.0445201743384</v>
      </c>
      <c r="O33" s="53">
        <v>111.66666666666669</v>
      </c>
      <c r="P33" s="53">
        <v>506.0445201743384</v>
      </c>
      <c r="Q33" s="43">
        <v>1</v>
      </c>
      <c r="R33" s="43">
        <v>1</v>
      </c>
      <c r="S33" s="43">
        <v>1</v>
      </c>
      <c r="T33" s="43">
        <v>1</v>
      </c>
      <c r="U33" s="43">
        <v>1</v>
      </c>
      <c r="V33" s="43">
        <v>1</v>
      </c>
      <c r="W33" s="43">
        <v>1</v>
      </c>
      <c r="X33" s="43">
        <v>1</v>
      </c>
      <c r="Y33" s="43">
        <v>1</v>
      </c>
      <c r="Z33" s="43">
        <v>1</v>
      </c>
      <c r="AA33" s="43">
        <v>1</v>
      </c>
      <c r="AB33" s="43">
        <v>1</v>
      </c>
      <c r="AC33" s="43">
        <v>1</v>
      </c>
      <c r="AD33" s="43">
        <v>1</v>
      </c>
      <c r="AE33" s="43">
        <v>1</v>
      </c>
      <c r="AF33" s="43">
        <v>1</v>
      </c>
      <c r="AG33" s="43">
        <v>1</v>
      </c>
      <c r="AH33" s="43">
        <v>1</v>
      </c>
      <c r="AI33" s="43">
        <v>1</v>
      </c>
      <c r="AJ33" s="43">
        <v>1</v>
      </c>
      <c r="AK33" s="43">
        <v>1</v>
      </c>
      <c r="AL33" s="43">
        <v>1</v>
      </c>
      <c r="AM33" s="43">
        <v>1</v>
      </c>
      <c r="AN33" s="43">
        <v>1</v>
      </c>
      <c r="AO33" s="43">
        <v>1</v>
      </c>
      <c r="AP33" s="43">
        <v>1</v>
      </c>
      <c r="AQ33" s="43">
        <v>1</v>
      </c>
      <c r="AR33" s="43">
        <v>1</v>
      </c>
      <c r="AS33" s="43">
        <v>1</v>
      </c>
      <c r="AT33" s="43">
        <v>1</v>
      </c>
      <c r="AU33" s="43">
        <v>1</v>
      </c>
      <c r="AV33" s="43">
        <v>1</v>
      </c>
      <c r="AW33" s="43">
        <v>1</v>
      </c>
      <c r="AX33" s="43">
        <v>288</v>
      </c>
      <c r="AY33" s="43">
        <v>288</v>
      </c>
      <c r="AZ33" s="43">
        <v>288</v>
      </c>
      <c r="BA33" s="43">
        <v>288</v>
      </c>
      <c r="BB33" s="43">
        <v>288</v>
      </c>
      <c r="BC33" s="43">
        <v>288</v>
      </c>
      <c r="BD33" s="43">
        <v>288</v>
      </c>
      <c r="BE33" s="43">
        <v>288</v>
      </c>
      <c r="BF33" s="43">
        <v>288</v>
      </c>
      <c r="BG33" s="43">
        <v>288</v>
      </c>
      <c r="BH33" s="43">
        <v>0</v>
      </c>
      <c r="BI33" s="43">
        <v>0</v>
      </c>
      <c r="BJ33" s="43">
        <v>0</v>
      </c>
      <c r="BK33" s="43">
        <v>0</v>
      </c>
      <c r="BL33" s="43">
        <v>0</v>
      </c>
      <c r="BM33" s="43">
        <v>0</v>
      </c>
      <c r="BN33" s="43">
        <v>0</v>
      </c>
      <c r="BO33" s="43">
        <v>0</v>
      </c>
      <c r="BP33" s="43">
        <v>0</v>
      </c>
      <c r="BQ33" s="43">
        <v>0</v>
      </c>
      <c r="BR33" s="43">
        <v>0</v>
      </c>
      <c r="BS33" s="43">
        <v>0</v>
      </c>
      <c r="BT33" s="43">
        <v>0</v>
      </c>
      <c r="BU33" s="43">
        <v>0</v>
      </c>
      <c r="BV33" s="43">
        <v>0</v>
      </c>
      <c r="BW33" s="43">
        <v>0</v>
      </c>
      <c r="BX33" s="43">
        <v>0</v>
      </c>
      <c r="BY33" s="43">
        <v>0</v>
      </c>
      <c r="BZ33" s="43">
        <v>0</v>
      </c>
    </row>
    <row r="34" spans="1:78" hidden="1" x14ac:dyDescent="0.25">
      <c r="A34" s="61" t="s">
        <v>92</v>
      </c>
      <c r="B34" s="35">
        <v>21</v>
      </c>
      <c r="C34" s="8" t="s">
        <v>18</v>
      </c>
      <c r="D34" s="7">
        <v>1018</v>
      </c>
      <c r="E34" s="63">
        <f>SUM(Q34:BZ34)</f>
        <v>0</v>
      </c>
      <c r="F34" s="5" t="s">
        <v>55</v>
      </c>
      <c r="G34" s="50"/>
      <c r="H34" s="49"/>
      <c r="I34" s="35"/>
      <c r="J34" s="35"/>
      <c r="K34" s="35"/>
      <c r="L34" s="9"/>
      <c r="M34" s="53"/>
      <c r="N34" s="53"/>
      <c r="O34" s="53"/>
      <c r="P34" s="5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</row>
    <row r="35" spans="1:78" hidden="1" x14ac:dyDescent="0.25">
      <c r="A35" s="61" t="s">
        <v>93</v>
      </c>
      <c r="B35" s="35">
        <v>21</v>
      </c>
      <c r="C35" s="8" t="s">
        <v>18</v>
      </c>
      <c r="D35" s="7">
        <v>1018</v>
      </c>
      <c r="E35" s="64">
        <f>E34-E33</f>
        <v>-2500</v>
      </c>
      <c r="F35" s="5" t="s">
        <v>55</v>
      </c>
      <c r="G35" s="35"/>
      <c r="H35" s="35"/>
      <c r="I35" s="35"/>
      <c r="J35" s="35"/>
      <c r="K35" s="35"/>
      <c r="L35" s="35"/>
      <c r="M35" s="36"/>
      <c r="N35" s="36"/>
      <c r="O35" s="36"/>
      <c r="P35" s="36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</row>
    <row r="36" spans="1:78" hidden="1" x14ac:dyDescent="0.25">
      <c r="A36" s="61" t="s">
        <v>91</v>
      </c>
      <c r="B36" s="35">
        <v>22</v>
      </c>
      <c r="C36" s="8" t="s">
        <v>22</v>
      </c>
      <c r="D36" s="7">
        <v>1018</v>
      </c>
      <c r="E36" s="9">
        <v>384.75986622073589</v>
      </c>
      <c r="F36" s="5" t="s">
        <v>55</v>
      </c>
      <c r="G36" s="50">
        <v>32.875548123374216</v>
      </c>
      <c r="H36" s="49">
        <v>18</v>
      </c>
      <c r="I36" s="35">
        <v>207</v>
      </c>
      <c r="J36" s="35">
        <v>3.5</v>
      </c>
      <c r="K36" s="35">
        <v>216</v>
      </c>
      <c r="L36" s="9">
        <v>32.875548123374216</v>
      </c>
      <c r="M36" s="53">
        <v>506.0445201743384</v>
      </c>
      <c r="N36" s="53">
        <v>538.92006829771265</v>
      </c>
      <c r="O36" s="53">
        <v>32.875548123374244</v>
      </c>
      <c r="P36" s="53">
        <v>538.92006829771265</v>
      </c>
      <c r="Q36" s="43">
        <v>1</v>
      </c>
      <c r="R36" s="43">
        <v>1</v>
      </c>
      <c r="S36" s="43">
        <v>1</v>
      </c>
      <c r="T36" s="43">
        <v>1</v>
      </c>
      <c r="U36" s="43">
        <v>1</v>
      </c>
      <c r="V36" s="43">
        <v>1</v>
      </c>
      <c r="W36" s="43">
        <v>1</v>
      </c>
      <c r="X36" s="43">
        <v>1</v>
      </c>
      <c r="Y36" s="43">
        <v>1</v>
      </c>
      <c r="Z36" s="43">
        <v>1</v>
      </c>
      <c r="AA36" s="43">
        <v>1</v>
      </c>
      <c r="AB36" s="43">
        <v>1</v>
      </c>
      <c r="AC36" s="43">
        <v>1</v>
      </c>
      <c r="AD36" s="43">
        <v>1</v>
      </c>
      <c r="AE36" s="43">
        <v>1</v>
      </c>
      <c r="AF36" s="43">
        <v>1</v>
      </c>
      <c r="AG36" s="43">
        <v>1</v>
      </c>
      <c r="AH36" s="43">
        <v>1</v>
      </c>
      <c r="AI36" s="43">
        <v>1</v>
      </c>
      <c r="AJ36" s="43">
        <v>1</v>
      </c>
      <c r="AK36" s="43">
        <v>1</v>
      </c>
      <c r="AL36" s="43">
        <v>1</v>
      </c>
      <c r="AM36" s="43">
        <v>1</v>
      </c>
      <c r="AN36" s="43">
        <v>1</v>
      </c>
      <c r="AO36" s="43">
        <v>1</v>
      </c>
      <c r="AP36" s="43">
        <v>1</v>
      </c>
      <c r="AQ36" s="43">
        <v>1</v>
      </c>
      <c r="AR36" s="43">
        <v>1</v>
      </c>
      <c r="AS36" s="43">
        <v>1</v>
      </c>
      <c r="AT36" s="43">
        <v>1</v>
      </c>
      <c r="AU36" s="43">
        <v>1</v>
      </c>
      <c r="AV36" s="43">
        <v>1</v>
      </c>
      <c r="AW36" s="43">
        <v>1</v>
      </c>
      <c r="AX36" s="43">
        <v>1</v>
      </c>
      <c r="AY36" s="43">
        <v>1</v>
      </c>
      <c r="AZ36" s="43">
        <v>1</v>
      </c>
      <c r="BA36" s="43">
        <v>1</v>
      </c>
      <c r="BB36" s="43">
        <v>1</v>
      </c>
      <c r="BC36" s="43">
        <v>1</v>
      </c>
      <c r="BD36" s="43">
        <v>1</v>
      </c>
      <c r="BE36" s="43">
        <v>1</v>
      </c>
      <c r="BF36" s="43">
        <v>1</v>
      </c>
      <c r="BG36" s="43">
        <v>1</v>
      </c>
      <c r="BH36" s="43">
        <v>216</v>
      </c>
      <c r="BI36" s="43">
        <v>216</v>
      </c>
      <c r="BJ36" s="43">
        <v>0</v>
      </c>
      <c r="BK36" s="43">
        <v>0</v>
      </c>
      <c r="BL36" s="43">
        <v>0</v>
      </c>
      <c r="BM36" s="43">
        <v>0</v>
      </c>
      <c r="BN36" s="43">
        <v>0</v>
      </c>
      <c r="BO36" s="43">
        <v>0</v>
      </c>
      <c r="BP36" s="43">
        <v>0</v>
      </c>
      <c r="BQ36" s="43">
        <v>0</v>
      </c>
      <c r="BR36" s="43">
        <v>0</v>
      </c>
      <c r="BS36" s="43">
        <v>0</v>
      </c>
      <c r="BT36" s="43">
        <v>0</v>
      </c>
      <c r="BU36" s="43">
        <v>0</v>
      </c>
      <c r="BV36" s="43">
        <v>0</v>
      </c>
      <c r="BW36" s="43">
        <v>0</v>
      </c>
      <c r="BX36" s="43">
        <v>0</v>
      </c>
      <c r="BY36" s="43">
        <v>0</v>
      </c>
      <c r="BZ36" s="43">
        <v>0</v>
      </c>
    </row>
    <row r="37" spans="1:78" hidden="1" x14ac:dyDescent="0.25">
      <c r="A37" s="61" t="s">
        <v>92</v>
      </c>
      <c r="B37" s="35">
        <v>22</v>
      </c>
      <c r="C37" s="8" t="s">
        <v>22</v>
      </c>
      <c r="D37" s="7">
        <v>1018</v>
      </c>
      <c r="E37" s="63">
        <f>SUM(Q37:BZ37)</f>
        <v>0</v>
      </c>
      <c r="F37" s="5" t="s">
        <v>55</v>
      </c>
      <c r="G37" s="35"/>
      <c r="H37" s="35"/>
      <c r="I37" s="35"/>
      <c r="J37" s="35"/>
      <c r="K37" s="35"/>
      <c r="L37" s="35"/>
      <c r="M37" s="36"/>
      <c r="N37" s="36"/>
      <c r="O37" s="36"/>
      <c r="P37" s="36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</row>
    <row r="38" spans="1:78" hidden="1" x14ac:dyDescent="0.25">
      <c r="A38" s="61" t="s">
        <v>93</v>
      </c>
      <c r="B38" s="35">
        <v>22</v>
      </c>
      <c r="C38" s="8" t="s">
        <v>22</v>
      </c>
      <c r="D38" s="7">
        <v>1018</v>
      </c>
      <c r="E38" s="64">
        <f>E37-E36</f>
        <v>-384.75986622073589</v>
      </c>
      <c r="F38" s="5" t="s">
        <v>55</v>
      </c>
      <c r="G38" s="10"/>
      <c r="H38" s="49"/>
      <c r="I38" s="35"/>
      <c r="J38" s="35"/>
      <c r="K38" s="35"/>
      <c r="L38" s="9"/>
      <c r="M38" s="53"/>
      <c r="N38" s="53"/>
      <c r="O38" s="53"/>
      <c r="P38" s="5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</row>
    <row r="39" spans="1:78" hidden="1" x14ac:dyDescent="0.25">
      <c r="A39" s="61" t="s">
        <v>91</v>
      </c>
      <c r="B39" s="35">
        <v>1</v>
      </c>
      <c r="C39" s="8" t="s">
        <v>28</v>
      </c>
      <c r="D39" s="7">
        <v>1018</v>
      </c>
      <c r="E39" s="9">
        <v>500</v>
      </c>
      <c r="F39" s="5" t="s">
        <v>56</v>
      </c>
      <c r="G39" s="35">
        <v>30.30952380952381</v>
      </c>
      <c r="H39" s="35">
        <v>21</v>
      </c>
      <c r="I39" s="35">
        <v>136.5</v>
      </c>
      <c r="J39" s="35">
        <v>2</v>
      </c>
      <c r="K39" s="35">
        <v>252</v>
      </c>
      <c r="L39" s="35">
        <v>30.30952380952381</v>
      </c>
      <c r="M39" s="36">
        <v>0</v>
      </c>
      <c r="N39" s="36">
        <v>30.30952380952381</v>
      </c>
      <c r="O39" s="36">
        <v>30.30952380952381</v>
      </c>
      <c r="P39" s="36">
        <v>30.30952380952381</v>
      </c>
      <c r="Q39" s="43">
        <v>252</v>
      </c>
      <c r="R39" s="43">
        <v>252</v>
      </c>
      <c r="S39" s="43">
        <v>252</v>
      </c>
      <c r="T39" s="43">
        <v>0</v>
      </c>
      <c r="U39" s="43">
        <v>0</v>
      </c>
      <c r="V39" s="43">
        <v>0</v>
      </c>
      <c r="W39" s="43">
        <v>0</v>
      </c>
      <c r="X39" s="43">
        <v>0</v>
      </c>
      <c r="Y39" s="43">
        <v>0</v>
      </c>
      <c r="Z39" s="43">
        <v>0</v>
      </c>
      <c r="AA39" s="43">
        <v>0</v>
      </c>
      <c r="AB39" s="43">
        <v>0</v>
      </c>
      <c r="AC39" s="43">
        <v>0</v>
      </c>
      <c r="AD39" s="43">
        <v>0</v>
      </c>
      <c r="AE39" s="43">
        <v>0</v>
      </c>
      <c r="AF39" s="43">
        <v>0</v>
      </c>
      <c r="AG39" s="43">
        <v>0</v>
      </c>
      <c r="AH39" s="43">
        <v>0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43">
        <v>0</v>
      </c>
      <c r="AU39" s="43">
        <v>0</v>
      </c>
      <c r="AV39" s="43">
        <v>0</v>
      </c>
      <c r="AW39" s="43">
        <v>0</v>
      </c>
      <c r="AX39" s="43">
        <v>0</v>
      </c>
      <c r="AY39" s="43">
        <v>0</v>
      </c>
      <c r="AZ39" s="43">
        <v>0</v>
      </c>
      <c r="BA39" s="43">
        <v>0</v>
      </c>
      <c r="BB39" s="43">
        <v>0</v>
      </c>
      <c r="BC39" s="43">
        <v>0</v>
      </c>
      <c r="BD39" s="43">
        <v>0</v>
      </c>
      <c r="BE39" s="43">
        <v>0</v>
      </c>
      <c r="BF39" s="43">
        <v>0</v>
      </c>
      <c r="BG39" s="43">
        <v>0</v>
      </c>
      <c r="BH39" s="43">
        <v>0</v>
      </c>
      <c r="BI39" s="43">
        <v>0</v>
      </c>
      <c r="BJ39" s="43">
        <v>0</v>
      </c>
      <c r="BK39" s="43">
        <v>0</v>
      </c>
      <c r="BL39" s="43">
        <v>0</v>
      </c>
      <c r="BM39" s="43">
        <v>0</v>
      </c>
      <c r="BN39" s="43">
        <v>0</v>
      </c>
      <c r="BO39" s="43">
        <v>0</v>
      </c>
      <c r="BP39" s="43">
        <v>0</v>
      </c>
      <c r="BQ39" s="43">
        <v>0</v>
      </c>
      <c r="BR39" s="43">
        <v>0</v>
      </c>
      <c r="BS39" s="43">
        <v>0</v>
      </c>
      <c r="BT39" s="43">
        <v>0</v>
      </c>
      <c r="BU39" s="43">
        <v>0</v>
      </c>
      <c r="BV39" s="43">
        <v>0</v>
      </c>
      <c r="BW39" s="43">
        <v>0</v>
      </c>
      <c r="BX39" s="43">
        <v>0</v>
      </c>
      <c r="BY39" s="43">
        <v>0</v>
      </c>
      <c r="BZ39" s="43">
        <v>0</v>
      </c>
    </row>
    <row r="40" spans="1:78" hidden="1" x14ac:dyDescent="0.25">
      <c r="A40" s="61" t="s">
        <v>91</v>
      </c>
      <c r="B40" s="35">
        <v>1</v>
      </c>
      <c r="C40" s="8" t="s">
        <v>28</v>
      </c>
      <c r="D40" s="7">
        <v>7038</v>
      </c>
      <c r="E40" s="9">
        <v>500</v>
      </c>
      <c r="F40" s="5" t="s">
        <v>56</v>
      </c>
      <c r="G40" s="10">
        <v>30.30952380952381</v>
      </c>
      <c r="H40" s="49">
        <v>21</v>
      </c>
      <c r="I40" s="35">
        <v>136.5</v>
      </c>
      <c r="J40" s="35">
        <v>2</v>
      </c>
      <c r="K40" s="35">
        <v>252</v>
      </c>
      <c r="L40" s="9">
        <v>30.30952380952381</v>
      </c>
      <c r="M40" s="53">
        <v>30.30952380952381</v>
      </c>
      <c r="N40" s="53">
        <v>60.61904761904762</v>
      </c>
      <c r="O40" s="53">
        <v>30.30952380952381</v>
      </c>
      <c r="P40" s="53">
        <v>60.61904761904762</v>
      </c>
      <c r="Q40" s="43">
        <v>1</v>
      </c>
      <c r="R40" s="43">
        <v>1</v>
      </c>
      <c r="S40" s="43">
        <v>1</v>
      </c>
      <c r="T40" s="43">
        <v>252</v>
      </c>
      <c r="U40" s="43">
        <v>252</v>
      </c>
      <c r="V40" s="43">
        <v>252</v>
      </c>
      <c r="W40" s="43">
        <v>0</v>
      </c>
      <c r="X40" s="43">
        <v>0</v>
      </c>
      <c r="Y40" s="43">
        <v>0</v>
      </c>
      <c r="Z40" s="43">
        <v>0</v>
      </c>
      <c r="AA40" s="43">
        <v>0</v>
      </c>
      <c r="AB40" s="43">
        <v>0</v>
      </c>
      <c r="AC40" s="43">
        <v>0</v>
      </c>
      <c r="AD40" s="43">
        <v>0</v>
      </c>
      <c r="AE40" s="43">
        <v>0</v>
      </c>
      <c r="AF40" s="43">
        <v>0</v>
      </c>
      <c r="AG40" s="43">
        <v>0</v>
      </c>
      <c r="AH40" s="43">
        <v>0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43">
        <v>0</v>
      </c>
      <c r="AS40" s="43">
        <v>0</v>
      </c>
      <c r="AT40" s="43">
        <v>0</v>
      </c>
      <c r="AU40" s="43">
        <v>0</v>
      </c>
      <c r="AV40" s="43">
        <v>0</v>
      </c>
      <c r="AW40" s="43">
        <v>0</v>
      </c>
      <c r="AX40" s="43">
        <v>0</v>
      </c>
      <c r="AY40" s="43">
        <v>0</v>
      </c>
      <c r="AZ40" s="43">
        <v>0</v>
      </c>
      <c r="BA40" s="43">
        <v>0</v>
      </c>
      <c r="BB40" s="43">
        <v>0</v>
      </c>
      <c r="BC40" s="43">
        <v>0</v>
      </c>
      <c r="BD40" s="43">
        <v>0</v>
      </c>
      <c r="BE40" s="43">
        <v>0</v>
      </c>
      <c r="BF40" s="43">
        <v>0</v>
      </c>
      <c r="BG40" s="43">
        <v>0</v>
      </c>
      <c r="BH40" s="43">
        <v>0</v>
      </c>
      <c r="BI40" s="43">
        <v>0</v>
      </c>
      <c r="BJ40" s="43">
        <v>0</v>
      </c>
      <c r="BK40" s="43">
        <v>0</v>
      </c>
      <c r="BL40" s="43">
        <v>0</v>
      </c>
      <c r="BM40" s="43">
        <v>0</v>
      </c>
      <c r="BN40" s="43">
        <v>0</v>
      </c>
      <c r="BO40" s="43">
        <v>0</v>
      </c>
      <c r="BP40" s="43">
        <v>0</v>
      </c>
      <c r="BQ40" s="43">
        <v>0</v>
      </c>
      <c r="BR40" s="43">
        <v>0</v>
      </c>
      <c r="BS40" s="43">
        <v>0</v>
      </c>
      <c r="BT40" s="43">
        <v>0</v>
      </c>
      <c r="BU40" s="43">
        <v>0</v>
      </c>
      <c r="BV40" s="43">
        <v>0</v>
      </c>
      <c r="BW40" s="43">
        <v>0</v>
      </c>
      <c r="BX40" s="43">
        <v>0</v>
      </c>
      <c r="BY40" s="43">
        <v>0</v>
      </c>
      <c r="BZ40" s="43">
        <v>0</v>
      </c>
    </row>
    <row r="41" spans="1:78" hidden="1" x14ac:dyDescent="0.25">
      <c r="A41" s="61" t="s">
        <v>92</v>
      </c>
      <c r="B41" s="35">
        <v>1</v>
      </c>
      <c r="C41" s="8" t="s">
        <v>28</v>
      </c>
      <c r="D41" s="7">
        <v>1018</v>
      </c>
      <c r="E41" s="63">
        <f>SUM(Q41:BZ41)</f>
        <v>0</v>
      </c>
      <c r="F41" s="5" t="s">
        <v>56</v>
      </c>
      <c r="G41" s="10"/>
      <c r="H41" s="49"/>
      <c r="I41" s="35"/>
      <c r="J41" s="35"/>
      <c r="K41" s="35"/>
      <c r="L41" s="9"/>
      <c r="M41" s="53"/>
      <c r="N41" s="53"/>
      <c r="O41" s="53"/>
      <c r="P41" s="5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</row>
    <row r="42" spans="1:78" hidden="1" x14ac:dyDescent="0.25">
      <c r="A42" s="61" t="s">
        <v>92</v>
      </c>
      <c r="B42" s="35">
        <v>1</v>
      </c>
      <c r="C42" s="8" t="s">
        <v>28</v>
      </c>
      <c r="D42" s="7">
        <v>7038</v>
      </c>
      <c r="E42" s="63">
        <f>SUM(Q42:BZ42)</f>
        <v>0</v>
      </c>
      <c r="F42" s="5" t="s">
        <v>56</v>
      </c>
      <c r="G42" s="50"/>
      <c r="H42" s="49"/>
      <c r="I42" s="35"/>
      <c r="J42" s="35"/>
      <c r="K42" s="35"/>
      <c r="L42" s="9"/>
      <c r="M42" s="53"/>
      <c r="N42" s="53"/>
      <c r="O42" s="53"/>
      <c r="P42" s="5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</row>
    <row r="43" spans="1:78" hidden="1" x14ac:dyDescent="0.25">
      <c r="A43" s="61" t="s">
        <v>93</v>
      </c>
      <c r="B43" s="35">
        <v>1</v>
      </c>
      <c r="C43" s="8" t="s">
        <v>28</v>
      </c>
      <c r="D43" s="7">
        <v>1018</v>
      </c>
      <c r="E43" s="64">
        <f>E42-E41</f>
        <v>0</v>
      </c>
      <c r="F43" s="5" t="s">
        <v>56</v>
      </c>
      <c r="G43" s="50"/>
      <c r="H43" s="49"/>
      <c r="I43" s="35"/>
      <c r="J43" s="35"/>
      <c r="K43" s="35"/>
      <c r="L43" s="9"/>
      <c r="M43" s="53"/>
      <c r="N43" s="53"/>
      <c r="O43" s="53"/>
      <c r="P43" s="5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</row>
    <row r="44" spans="1:78" hidden="1" x14ac:dyDescent="0.25">
      <c r="A44" s="61" t="s">
        <v>93</v>
      </c>
      <c r="B44" s="35">
        <v>1</v>
      </c>
      <c r="C44" s="8" t="s">
        <v>28</v>
      </c>
      <c r="D44" s="7">
        <v>7038</v>
      </c>
      <c r="E44" s="64">
        <f>E43-E42</f>
        <v>0</v>
      </c>
      <c r="F44" s="5" t="s">
        <v>56</v>
      </c>
      <c r="G44" s="35"/>
      <c r="H44" s="35"/>
      <c r="I44" s="35"/>
      <c r="J44" s="35"/>
      <c r="K44" s="35"/>
      <c r="L44" s="35"/>
      <c r="M44" s="36"/>
      <c r="N44" s="36"/>
      <c r="O44" s="36"/>
      <c r="P44" s="36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</row>
    <row r="45" spans="1:78" hidden="1" x14ac:dyDescent="0.25">
      <c r="A45" s="61" t="s">
        <v>91</v>
      </c>
      <c r="B45" s="35">
        <v>12</v>
      </c>
      <c r="C45" s="8" t="s">
        <v>12</v>
      </c>
      <c r="D45" s="7">
        <v>1018</v>
      </c>
      <c r="E45" s="9">
        <v>513.58675571976687</v>
      </c>
      <c r="F45" s="5" t="s">
        <v>56</v>
      </c>
      <c r="G45" s="50">
        <v>75.065195079974103</v>
      </c>
      <c r="H45" s="49">
        <v>9</v>
      </c>
      <c r="I45" s="35">
        <v>162</v>
      </c>
      <c r="J45" s="35">
        <v>4</v>
      </c>
      <c r="K45" s="35">
        <v>108</v>
      </c>
      <c r="L45" s="9">
        <v>75.065195079974103</v>
      </c>
      <c r="M45" s="53">
        <v>60.61904761904762</v>
      </c>
      <c r="N45" s="53">
        <v>135.68424269902172</v>
      </c>
      <c r="O45" s="53">
        <v>75.065195079974103</v>
      </c>
      <c r="P45" s="53">
        <v>135.68424269902172</v>
      </c>
      <c r="Q45" s="43">
        <v>1</v>
      </c>
      <c r="R45" s="43">
        <v>1</v>
      </c>
      <c r="S45" s="43">
        <v>1</v>
      </c>
      <c r="T45" s="43">
        <v>1</v>
      </c>
      <c r="U45" s="43">
        <v>1</v>
      </c>
      <c r="V45" s="43">
        <v>1</v>
      </c>
      <c r="W45" s="43">
        <v>108</v>
      </c>
      <c r="X45" s="43">
        <v>108</v>
      </c>
      <c r="Y45" s="43">
        <v>108</v>
      </c>
      <c r="Z45" s="43">
        <v>108</v>
      </c>
      <c r="AA45" s="43">
        <v>108</v>
      </c>
      <c r="AB45" s="43">
        <v>108</v>
      </c>
      <c r="AC45" s="43">
        <v>0</v>
      </c>
      <c r="AD45" s="43">
        <v>0</v>
      </c>
      <c r="AE45" s="43">
        <v>0</v>
      </c>
      <c r="AF45" s="43">
        <v>0</v>
      </c>
      <c r="AG45" s="43">
        <v>0</v>
      </c>
      <c r="AH45" s="43">
        <v>0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  <c r="AO45" s="43">
        <v>0</v>
      </c>
      <c r="AP45" s="43">
        <v>0</v>
      </c>
      <c r="AQ45" s="43">
        <v>0</v>
      </c>
      <c r="AR45" s="43">
        <v>0</v>
      </c>
      <c r="AS45" s="43">
        <v>0</v>
      </c>
      <c r="AT45" s="43">
        <v>0</v>
      </c>
      <c r="AU45" s="43">
        <v>0</v>
      </c>
      <c r="AV45" s="43">
        <v>0</v>
      </c>
      <c r="AW45" s="43">
        <v>0</v>
      </c>
      <c r="AX45" s="43">
        <v>0</v>
      </c>
      <c r="AY45" s="43">
        <v>0</v>
      </c>
      <c r="AZ45" s="43">
        <v>0</v>
      </c>
      <c r="BA45" s="43">
        <v>0</v>
      </c>
      <c r="BB45" s="43">
        <v>0</v>
      </c>
      <c r="BC45" s="43">
        <v>0</v>
      </c>
      <c r="BD45" s="43">
        <v>0</v>
      </c>
      <c r="BE45" s="43">
        <v>0</v>
      </c>
      <c r="BF45" s="43">
        <v>0</v>
      </c>
      <c r="BG45" s="43">
        <v>0</v>
      </c>
      <c r="BH45" s="43">
        <v>0</v>
      </c>
      <c r="BI45" s="43">
        <v>0</v>
      </c>
      <c r="BJ45" s="43">
        <v>0</v>
      </c>
      <c r="BK45" s="43">
        <v>0</v>
      </c>
      <c r="BL45" s="43">
        <v>0</v>
      </c>
      <c r="BM45" s="43">
        <v>0</v>
      </c>
      <c r="BN45" s="43">
        <v>0</v>
      </c>
      <c r="BO45" s="43">
        <v>0</v>
      </c>
      <c r="BP45" s="43">
        <v>0</v>
      </c>
      <c r="BQ45" s="43">
        <v>0</v>
      </c>
      <c r="BR45" s="43">
        <v>0</v>
      </c>
      <c r="BS45" s="43">
        <v>0</v>
      </c>
      <c r="BT45" s="43">
        <v>0</v>
      </c>
      <c r="BU45" s="43">
        <v>0</v>
      </c>
      <c r="BV45" s="43">
        <v>0</v>
      </c>
      <c r="BW45" s="43">
        <v>0</v>
      </c>
      <c r="BX45" s="43">
        <v>0</v>
      </c>
      <c r="BY45" s="43">
        <v>0</v>
      </c>
      <c r="BZ45" s="43">
        <v>0</v>
      </c>
    </row>
    <row r="46" spans="1:78" hidden="1" x14ac:dyDescent="0.25">
      <c r="A46" s="61" t="s">
        <v>92</v>
      </c>
      <c r="B46" s="35">
        <v>12</v>
      </c>
      <c r="C46" s="8" t="s">
        <v>12</v>
      </c>
      <c r="D46" s="7">
        <v>1018</v>
      </c>
      <c r="E46" s="63">
        <f>SUM(Q46:BZ46)</f>
        <v>0</v>
      </c>
      <c r="F46" s="5" t="s">
        <v>56</v>
      </c>
      <c r="G46" s="35"/>
      <c r="H46" s="35"/>
      <c r="I46" s="35"/>
      <c r="J46" s="35"/>
      <c r="K46" s="35"/>
      <c r="L46" s="35"/>
      <c r="M46" s="36"/>
      <c r="N46" s="36"/>
      <c r="O46" s="36"/>
      <c r="P46" s="36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</row>
    <row r="47" spans="1:78" hidden="1" x14ac:dyDescent="0.25">
      <c r="A47" s="61" t="s">
        <v>93</v>
      </c>
      <c r="B47" s="35">
        <v>12</v>
      </c>
      <c r="C47" s="8" t="s">
        <v>12</v>
      </c>
      <c r="D47" s="7">
        <v>1018</v>
      </c>
      <c r="E47" s="64">
        <f>E46-E45</f>
        <v>-513.58675571976687</v>
      </c>
      <c r="F47" s="5" t="s">
        <v>56</v>
      </c>
      <c r="G47" s="10"/>
      <c r="H47" s="49"/>
      <c r="I47" s="35"/>
      <c r="J47" s="35"/>
      <c r="K47" s="35"/>
      <c r="L47" s="9"/>
      <c r="M47" s="53"/>
      <c r="N47" s="53"/>
      <c r="O47" s="53"/>
      <c r="P47" s="5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</row>
    <row r="48" spans="1:78" hidden="1" x14ac:dyDescent="0.25">
      <c r="A48" s="61" t="s">
        <v>91</v>
      </c>
      <c r="B48" s="35">
        <v>13</v>
      </c>
      <c r="C48" s="8" t="s">
        <v>10</v>
      </c>
      <c r="D48" s="7">
        <v>1018</v>
      </c>
      <c r="E48" s="9">
        <v>53.511705685618722</v>
      </c>
      <c r="F48" s="5" t="s">
        <v>56</v>
      </c>
      <c r="G48" s="35">
        <v>10.472872538089929</v>
      </c>
      <c r="H48" s="35">
        <v>18</v>
      </c>
      <c r="I48" s="35">
        <v>135</v>
      </c>
      <c r="J48" s="35">
        <v>3</v>
      </c>
      <c r="K48" s="35">
        <v>216</v>
      </c>
      <c r="L48" s="35">
        <v>10.472872538089929</v>
      </c>
      <c r="M48" s="36">
        <v>135.68424269902172</v>
      </c>
      <c r="N48" s="36">
        <v>146.15711523711164</v>
      </c>
      <c r="O48" s="36">
        <v>10.472872538089916</v>
      </c>
      <c r="P48" s="36">
        <v>146.15711523711164</v>
      </c>
      <c r="Q48" s="43">
        <v>1</v>
      </c>
      <c r="R48" s="43">
        <v>1</v>
      </c>
      <c r="S48" s="43">
        <v>1</v>
      </c>
      <c r="T48" s="43">
        <v>1</v>
      </c>
      <c r="U48" s="43">
        <v>1</v>
      </c>
      <c r="V48" s="43">
        <v>1</v>
      </c>
      <c r="W48" s="43">
        <v>1</v>
      </c>
      <c r="X48" s="43">
        <v>1</v>
      </c>
      <c r="Y48" s="43">
        <v>1</v>
      </c>
      <c r="Z48" s="43">
        <v>1</v>
      </c>
      <c r="AA48" s="43">
        <v>1</v>
      </c>
      <c r="AB48" s="43">
        <v>1</v>
      </c>
      <c r="AC48" s="43">
        <v>216</v>
      </c>
      <c r="AD48" s="43">
        <v>0</v>
      </c>
      <c r="AE48" s="43">
        <v>0</v>
      </c>
      <c r="AF48" s="43">
        <v>0</v>
      </c>
      <c r="AG48" s="43">
        <v>0</v>
      </c>
      <c r="AH48" s="43">
        <v>0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43">
        <v>0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43">
        <v>0</v>
      </c>
      <c r="AZ48" s="43">
        <v>0</v>
      </c>
      <c r="BA48" s="43">
        <v>0</v>
      </c>
      <c r="BB48" s="43">
        <v>0</v>
      </c>
      <c r="BC48" s="43">
        <v>0</v>
      </c>
      <c r="BD48" s="43">
        <v>0</v>
      </c>
      <c r="BE48" s="43">
        <v>0</v>
      </c>
      <c r="BF48" s="43">
        <v>0</v>
      </c>
      <c r="BG48" s="43">
        <v>0</v>
      </c>
      <c r="BH48" s="43">
        <v>0</v>
      </c>
      <c r="BI48" s="43">
        <v>0</v>
      </c>
      <c r="BJ48" s="43">
        <v>0</v>
      </c>
      <c r="BK48" s="43">
        <v>0</v>
      </c>
      <c r="BL48" s="43">
        <v>0</v>
      </c>
      <c r="BM48" s="43">
        <v>0</v>
      </c>
      <c r="BN48" s="43">
        <v>0</v>
      </c>
      <c r="BO48" s="43">
        <v>0</v>
      </c>
      <c r="BP48" s="43">
        <v>0</v>
      </c>
      <c r="BQ48" s="43">
        <v>0</v>
      </c>
      <c r="BR48" s="43">
        <v>0</v>
      </c>
      <c r="BS48" s="43">
        <v>0</v>
      </c>
      <c r="BT48" s="43">
        <v>0</v>
      </c>
      <c r="BU48" s="43">
        <v>0</v>
      </c>
      <c r="BV48" s="43">
        <v>0</v>
      </c>
      <c r="BW48" s="43">
        <v>0</v>
      </c>
      <c r="BX48" s="43">
        <v>0</v>
      </c>
      <c r="BY48" s="43">
        <v>0</v>
      </c>
      <c r="BZ48" s="43">
        <v>0</v>
      </c>
    </row>
    <row r="49" spans="1:78" hidden="1" x14ac:dyDescent="0.25">
      <c r="A49" s="61" t="s">
        <v>92</v>
      </c>
      <c r="B49" s="35">
        <v>13</v>
      </c>
      <c r="C49" s="8" t="s">
        <v>10</v>
      </c>
      <c r="D49" s="7">
        <v>1018</v>
      </c>
      <c r="E49" s="63">
        <f>SUM(Q49:BZ49)</f>
        <v>0</v>
      </c>
      <c r="F49" s="5" t="s">
        <v>56</v>
      </c>
      <c r="G49" s="10"/>
      <c r="H49" s="49"/>
      <c r="I49" s="35"/>
      <c r="J49" s="35"/>
      <c r="K49" s="35"/>
      <c r="L49" s="9"/>
      <c r="M49" s="53"/>
      <c r="N49" s="53"/>
      <c r="O49" s="53"/>
      <c r="P49" s="5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</row>
    <row r="50" spans="1:78" hidden="1" x14ac:dyDescent="0.25">
      <c r="A50" s="61" t="s">
        <v>93</v>
      </c>
      <c r="B50" s="35">
        <v>13</v>
      </c>
      <c r="C50" s="8" t="s">
        <v>10</v>
      </c>
      <c r="D50" s="7">
        <v>1018</v>
      </c>
      <c r="E50" s="64">
        <f>E49-E48</f>
        <v>-53.511705685618722</v>
      </c>
      <c r="F50" s="5" t="s">
        <v>56</v>
      </c>
      <c r="G50" s="50"/>
      <c r="H50" s="49"/>
      <c r="I50" s="35"/>
      <c r="J50" s="35"/>
      <c r="K50" s="35"/>
      <c r="L50" s="9"/>
      <c r="M50" s="53"/>
      <c r="N50" s="53"/>
      <c r="O50" s="53"/>
      <c r="P50" s="5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</row>
    <row r="51" spans="1:78" hidden="1" x14ac:dyDescent="0.25">
      <c r="A51" s="61" t="s">
        <v>91</v>
      </c>
      <c r="B51" s="35">
        <v>14</v>
      </c>
      <c r="C51" s="8" t="s">
        <v>6</v>
      </c>
      <c r="D51" s="7">
        <v>1018</v>
      </c>
      <c r="E51" s="9">
        <v>2723.4508900000005</v>
      </c>
      <c r="F51" s="5" t="s">
        <v>56</v>
      </c>
      <c r="G51" s="10">
        <v>136.18813761904764</v>
      </c>
      <c r="H51" s="49">
        <v>21</v>
      </c>
      <c r="I51" s="35">
        <v>136.5</v>
      </c>
      <c r="J51" s="35">
        <v>3</v>
      </c>
      <c r="K51" s="35">
        <v>252</v>
      </c>
      <c r="L51" s="9">
        <v>136.18813761904764</v>
      </c>
      <c r="M51" s="53">
        <v>146.15711523711164</v>
      </c>
      <c r="N51" s="53">
        <v>282.34525285615928</v>
      </c>
      <c r="O51" s="53">
        <v>136.18813761904764</v>
      </c>
      <c r="P51" s="53">
        <v>282.34525285615928</v>
      </c>
      <c r="Q51" s="43">
        <v>1</v>
      </c>
      <c r="R51" s="43">
        <v>1</v>
      </c>
      <c r="S51" s="43">
        <v>1</v>
      </c>
      <c r="T51" s="43">
        <v>1</v>
      </c>
      <c r="U51" s="43">
        <v>1</v>
      </c>
      <c r="V51" s="43">
        <v>1</v>
      </c>
      <c r="W51" s="43">
        <v>1</v>
      </c>
      <c r="X51" s="43">
        <v>1</v>
      </c>
      <c r="Y51" s="43">
        <v>1</v>
      </c>
      <c r="Z51" s="43">
        <v>1</v>
      </c>
      <c r="AA51" s="43">
        <v>1</v>
      </c>
      <c r="AB51" s="43">
        <v>1</v>
      </c>
      <c r="AC51" s="43">
        <v>1</v>
      </c>
      <c r="AD51" s="43">
        <v>252</v>
      </c>
      <c r="AE51" s="43">
        <v>252</v>
      </c>
      <c r="AF51" s="43">
        <v>252</v>
      </c>
      <c r="AG51" s="43">
        <v>252</v>
      </c>
      <c r="AH51" s="43">
        <v>252</v>
      </c>
      <c r="AI51" s="43">
        <v>252</v>
      </c>
      <c r="AJ51" s="43">
        <v>252</v>
      </c>
      <c r="AK51" s="43">
        <v>252</v>
      </c>
      <c r="AL51" s="43">
        <v>252</v>
      </c>
      <c r="AM51" s="43">
        <v>252</v>
      </c>
      <c r="AN51" s="43">
        <v>252</v>
      </c>
      <c r="AO51" s="43">
        <v>0</v>
      </c>
      <c r="AP51" s="43">
        <v>0</v>
      </c>
      <c r="AQ51" s="43">
        <v>0</v>
      </c>
      <c r="AR51" s="43">
        <v>0</v>
      </c>
      <c r="AS51" s="43">
        <v>0</v>
      </c>
      <c r="AT51" s="43">
        <v>0</v>
      </c>
      <c r="AU51" s="43">
        <v>0</v>
      </c>
      <c r="AV51" s="43">
        <v>0</v>
      </c>
      <c r="AW51" s="43">
        <v>0</v>
      </c>
      <c r="AX51" s="43">
        <v>0</v>
      </c>
      <c r="AY51" s="43">
        <v>0</v>
      </c>
      <c r="AZ51" s="43">
        <v>0</v>
      </c>
      <c r="BA51" s="43">
        <v>0</v>
      </c>
      <c r="BB51" s="43">
        <v>0</v>
      </c>
      <c r="BC51" s="43">
        <v>0</v>
      </c>
      <c r="BD51" s="43">
        <v>0</v>
      </c>
      <c r="BE51" s="43">
        <v>0</v>
      </c>
      <c r="BF51" s="43">
        <v>0</v>
      </c>
      <c r="BG51" s="43">
        <v>0</v>
      </c>
      <c r="BH51" s="43">
        <v>0</v>
      </c>
      <c r="BI51" s="43">
        <v>0</v>
      </c>
      <c r="BJ51" s="43">
        <v>0</v>
      </c>
      <c r="BK51" s="43">
        <v>0</v>
      </c>
      <c r="BL51" s="43">
        <v>0</v>
      </c>
      <c r="BM51" s="43">
        <v>0</v>
      </c>
      <c r="BN51" s="43">
        <v>0</v>
      </c>
      <c r="BO51" s="43">
        <v>0</v>
      </c>
      <c r="BP51" s="43">
        <v>0</v>
      </c>
      <c r="BQ51" s="43">
        <v>0</v>
      </c>
      <c r="BR51" s="43">
        <v>0</v>
      </c>
      <c r="BS51" s="43">
        <v>0</v>
      </c>
      <c r="BT51" s="43">
        <v>0</v>
      </c>
      <c r="BU51" s="43">
        <v>0</v>
      </c>
      <c r="BV51" s="43">
        <v>0</v>
      </c>
      <c r="BW51" s="43">
        <v>0</v>
      </c>
      <c r="BX51" s="43">
        <v>0</v>
      </c>
      <c r="BY51" s="43">
        <v>0</v>
      </c>
      <c r="BZ51" s="43">
        <v>0</v>
      </c>
    </row>
    <row r="52" spans="1:78" hidden="1" x14ac:dyDescent="0.25">
      <c r="A52" s="61" t="s">
        <v>92</v>
      </c>
      <c r="B52" s="35">
        <v>14</v>
      </c>
      <c r="C52" s="8" t="s">
        <v>6</v>
      </c>
      <c r="D52" s="7">
        <v>1018</v>
      </c>
      <c r="E52" s="63">
        <f>SUM(Q52:BZ52)</f>
        <v>0</v>
      </c>
      <c r="F52" s="5" t="s">
        <v>56</v>
      </c>
      <c r="G52" s="50"/>
      <c r="H52" s="49"/>
      <c r="I52" s="35"/>
      <c r="J52" s="35"/>
      <c r="K52" s="35"/>
      <c r="L52" s="9"/>
      <c r="M52" s="53"/>
      <c r="N52" s="53"/>
      <c r="O52" s="53"/>
      <c r="P52" s="5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</row>
    <row r="53" spans="1:78" hidden="1" x14ac:dyDescent="0.25">
      <c r="A53" s="61" t="s">
        <v>93</v>
      </c>
      <c r="B53" s="35">
        <v>14</v>
      </c>
      <c r="C53" s="8" t="s">
        <v>6</v>
      </c>
      <c r="D53" s="7">
        <v>1018</v>
      </c>
      <c r="E53" s="64">
        <f>E52-E51</f>
        <v>-2723.4508900000005</v>
      </c>
      <c r="F53" s="5" t="s">
        <v>56</v>
      </c>
      <c r="G53" s="35"/>
      <c r="H53" s="35"/>
      <c r="I53" s="35"/>
      <c r="J53" s="35"/>
      <c r="K53" s="35"/>
      <c r="L53" s="35"/>
      <c r="M53" s="36"/>
      <c r="N53" s="36"/>
      <c r="O53" s="36"/>
      <c r="P53" s="36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</row>
    <row r="54" spans="1:78" hidden="1" x14ac:dyDescent="0.25">
      <c r="A54" s="61" t="s">
        <v>91</v>
      </c>
      <c r="B54" s="35">
        <v>15</v>
      </c>
      <c r="C54" s="8" t="s">
        <v>59</v>
      </c>
      <c r="D54" s="7">
        <v>1018</v>
      </c>
      <c r="E54" s="9">
        <v>112.77552000000003</v>
      </c>
      <c r="F54" s="5" t="s">
        <v>56</v>
      </c>
      <c r="G54" s="50">
        <v>11.370262857142858</v>
      </c>
      <c r="H54" s="49">
        <v>21</v>
      </c>
      <c r="I54" s="35">
        <v>126</v>
      </c>
      <c r="J54" s="35">
        <v>3</v>
      </c>
      <c r="K54" s="35">
        <v>252</v>
      </c>
      <c r="L54" s="9">
        <v>11.370262857142858</v>
      </c>
      <c r="M54" s="53">
        <v>282.34525285615928</v>
      </c>
      <c r="N54" s="53">
        <v>293.71551571330212</v>
      </c>
      <c r="O54" s="53">
        <v>11.370262857142848</v>
      </c>
      <c r="P54" s="53">
        <v>293.71551571330212</v>
      </c>
      <c r="Q54" s="43">
        <v>1</v>
      </c>
      <c r="R54" s="43">
        <v>1</v>
      </c>
      <c r="S54" s="43">
        <v>1</v>
      </c>
      <c r="T54" s="43">
        <v>1</v>
      </c>
      <c r="U54" s="43">
        <v>1</v>
      </c>
      <c r="V54" s="43">
        <v>1</v>
      </c>
      <c r="W54" s="43">
        <v>1</v>
      </c>
      <c r="X54" s="43">
        <v>1</v>
      </c>
      <c r="Y54" s="43">
        <v>1</v>
      </c>
      <c r="Z54" s="43">
        <v>1</v>
      </c>
      <c r="AA54" s="43">
        <v>1</v>
      </c>
      <c r="AB54" s="43">
        <v>1</v>
      </c>
      <c r="AC54" s="43">
        <v>1</v>
      </c>
      <c r="AD54" s="43">
        <v>1</v>
      </c>
      <c r="AE54" s="43">
        <v>1</v>
      </c>
      <c r="AF54" s="43">
        <v>1</v>
      </c>
      <c r="AG54" s="43">
        <v>1</v>
      </c>
      <c r="AH54" s="43">
        <v>1</v>
      </c>
      <c r="AI54" s="43">
        <v>1</v>
      </c>
      <c r="AJ54" s="43">
        <v>1</v>
      </c>
      <c r="AK54" s="43">
        <v>1</v>
      </c>
      <c r="AL54" s="43">
        <v>1</v>
      </c>
      <c r="AM54" s="43">
        <v>1</v>
      </c>
      <c r="AN54" s="43">
        <v>1</v>
      </c>
      <c r="AO54" s="43">
        <v>252</v>
      </c>
      <c r="AP54" s="43">
        <v>0</v>
      </c>
      <c r="AQ54" s="43">
        <v>0</v>
      </c>
      <c r="AR54" s="43">
        <v>0</v>
      </c>
      <c r="AS54" s="43">
        <v>0</v>
      </c>
      <c r="AT54" s="43">
        <v>0</v>
      </c>
      <c r="AU54" s="43">
        <v>0</v>
      </c>
      <c r="AV54" s="43">
        <v>0</v>
      </c>
      <c r="AW54" s="43">
        <v>0</v>
      </c>
      <c r="AX54" s="43">
        <v>0</v>
      </c>
      <c r="AY54" s="43">
        <v>0</v>
      </c>
      <c r="AZ54" s="43">
        <v>0</v>
      </c>
      <c r="BA54" s="43">
        <v>0</v>
      </c>
      <c r="BB54" s="43">
        <v>0</v>
      </c>
      <c r="BC54" s="43">
        <v>0</v>
      </c>
      <c r="BD54" s="43">
        <v>0</v>
      </c>
      <c r="BE54" s="43">
        <v>0</v>
      </c>
      <c r="BF54" s="43">
        <v>0</v>
      </c>
      <c r="BG54" s="43">
        <v>0</v>
      </c>
      <c r="BH54" s="43">
        <v>0</v>
      </c>
      <c r="BI54" s="43">
        <v>0</v>
      </c>
      <c r="BJ54" s="43">
        <v>0</v>
      </c>
      <c r="BK54" s="43">
        <v>0</v>
      </c>
      <c r="BL54" s="43">
        <v>0</v>
      </c>
      <c r="BM54" s="43">
        <v>0</v>
      </c>
      <c r="BN54" s="43">
        <v>0</v>
      </c>
      <c r="BO54" s="43">
        <v>0</v>
      </c>
      <c r="BP54" s="43">
        <v>0</v>
      </c>
      <c r="BQ54" s="43">
        <v>0</v>
      </c>
      <c r="BR54" s="43">
        <v>0</v>
      </c>
      <c r="BS54" s="43">
        <v>0</v>
      </c>
      <c r="BT54" s="43">
        <v>0</v>
      </c>
      <c r="BU54" s="43">
        <v>0</v>
      </c>
      <c r="BV54" s="43">
        <v>0</v>
      </c>
      <c r="BW54" s="43">
        <v>0</v>
      </c>
      <c r="BX54" s="43">
        <v>0</v>
      </c>
      <c r="BY54" s="43">
        <v>0</v>
      </c>
      <c r="BZ54" s="43">
        <v>0</v>
      </c>
    </row>
    <row r="55" spans="1:78" hidden="1" x14ac:dyDescent="0.25">
      <c r="A55" s="61" t="s">
        <v>92</v>
      </c>
      <c r="B55" s="35">
        <v>15</v>
      </c>
      <c r="C55" s="8" t="s">
        <v>59</v>
      </c>
      <c r="D55" s="7">
        <v>1018</v>
      </c>
      <c r="E55" s="63">
        <f>SUM(Q55:BZ55)</f>
        <v>0</v>
      </c>
      <c r="F55" s="5" t="s">
        <v>56</v>
      </c>
      <c r="G55" s="35"/>
      <c r="H55" s="35"/>
      <c r="I55" s="35"/>
      <c r="J55" s="35"/>
      <c r="K55" s="35"/>
      <c r="L55" s="35"/>
      <c r="M55" s="36"/>
      <c r="N55" s="36"/>
      <c r="O55" s="36"/>
      <c r="P55" s="36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</row>
    <row r="56" spans="1:78" hidden="1" x14ac:dyDescent="0.25">
      <c r="A56" s="61" t="s">
        <v>93</v>
      </c>
      <c r="B56" s="35">
        <v>15</v>
      </c>
      <c r="C56" s="8" t="s">
        <v>59</v>
      </c>
      <c r="D56" s="7">
        <v>1018</v>
      </c>
      <c r="E56" s="64">
        <f>E55-E54</f>
        <v>-112.77552000000003</v>
      </c>
      <c r="F56" s="5" t="s">
        <v>56</v>
      </c>
      <c r="G56" s="10"/>
      <c r="H56" s="49"/>
      <c r="I56" s="35"/>
      <c r="J56" s="35"/>
      <c r="K56" s="35"/>
      <c r="L56" s="9"/>
      <c r="M56" s="53"/>
      <c r="N56" s="53"/>
      <c r="O56" s="53"/>
      <c r="P56" s="5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</row>
    <row r="57" spans="1:78" hidden="1" x14ac:dyDescent="0.25">
      <c r="A57" s="61" t="s">
        <v>91</v>
      </c>
      <c r="B57" s="35">
        <v>16</v>
      </c>
      <c r="C57" s="8" t="s">
        <v>5</v>
      </c>
      <c r="D57" s="7">
        <v>1018</v>
      </c>
      <c r="E57" s="9">
        <v>2874.7452471482893</v>
      </c>
      <c r="F57" s="5" t="s">
        <v>56</v>
      </c>
      <c r="G57" s="35">
        <v>140.89263081658521</v>
      </c>
      <c r="H57" s="35">
        <v>21</v>
      </c>
      <c r="I57" s="35">
        <v>84</v>
      </c>
      <c r="J57" s="35">
        <v>2</v>
      </c>
      <c r="K57" s="35">
        <v>252</v>
      </c>
      <c r="L57" s="35">
        <v>140.89263081658521</v>
      </c>
      <c r="M57" s="36">
        <v>293.71551571330212</v>
      </c>
      <c r="N57" s="36">
        <v>434.60814652988734</v>
      </c>
      <c r="O57" s="36">
        <v>140.89263081658521</v>
      </c>
      <c r="P57" s="36">
        <v>434.60814652988734</v>
      </c>
      <c r="Q57" s="43">
        <v>1</v>
      </c>
      <c r="R57" s="43">
        <v>1</v>
      </c>
      <c r="S57" s="43">
        <v>1</v>
      </c>
      <c r="T57" s="43">
        <v>1</v>
      </c>
      <c r="U57" s="43">
        <v>1</v>
      </c>
      <c r="V57" s="43">
        <v>1</v>
      </c>
      <c r="W57" s="43">
        <v>1</v>
      </c>
      <c r="X57" s="43">
        <v>1</v>
      </c>
      <c r="Y57" s="43">
        <v>1</v>
      </c>
      <c r="Z57" s="43">
        <v>1</v>
      </c>
      <c r="AA57" s="43">
        <v>1</v>
      </c>
      <c r="AB57" s="43">
        <v>1</v>
      </c>
      <c r="AC57" s="43">
        <v>1</v>
      </c>
      <c r="AD57" s="43">
        <v>1</v>
      </c>
      <c r="AE57" s="43">
        <v>1</v>
      </c>
      <c r="AF57" s="43">
        <v>1</v>
      </c>
      <c r="AG57" s="43">
        <v>1</v>
      </c>
      <c r="AH57" s="43">
        <v>1</v>
      </c>
      <c r="AI57" s="43">
        <v>1</v>
      </c>
      <c r="AJ57" s="43">
        <v>1</v>
      </c>
      <c r="AK57" s="43">
        <v>1</v>
      </c>
      <c r="AL57" s="43">
        <v>1</v>
      </c>
      <c r="AM57" s="43">
        <v>1</v>
      </c>
      <c r="AN57" s="43">
        <v>1</v>
      </c>
      <c r="AO57" s="43">
        <v>1</v>
      </c>
      <c r="AP57" s="43">
        <v>252</v>
      </c>
      <c r="AQ57" s="43">
        <v>252</v>
      </c>
      <c r="AR57" s="43">
        <v>252</v>
      </c>
      <c r="AS57" s="43">
        <v>252</v>
      </c>
      <c r="AT57" s="43">
        <v>252</v>
      </c>
      <c r="AU57" s="43">
        <v>252</v>
      </c>
      <c r="AV57" s="43">
        <v>252</v>
      </c>
      <c r="AW57" s="43">
        <v>252</v>
      </c>
      <c r="AX57" s="43">
        <v>252</v>
      </c>
      <c r="AY57" s="43">
        <v>252</v>
      </c>
      <c r="AZ57" s="43">
        <v>252</v>
      </c>
      <c r="BA57" s="43">
        <v>252</v>
      </c>
      <c r="BB57" s="43">
        <v>0</v>
      </c>
      <c r="BC57" s="43">
        <v>0</v>
      </c>
      <c r="BD57" s="43">
        <v>0</v>
      </c>
      <c r="BE57" s="43">
        <v>0</v>
      </c>
      <c r="BF57" s="43">
        <v>0</v>
      </c>
      <c r="BG57" s="43">
        <v>0</v>
      </c>
      <c r="BH57" s="43">
        <v>0</v>
      </c>
      <c r="BI57" s="43">
        <v>0</v>
      </c>
      <c r="BJ57" s="43">
        <v>0</v>
      </c>
      <c r="BK57" s="43">
        <v>0</v>
      </c>
      <c r="BL57" s="43">
        <v>0</v>
      </c>
      <c r="BM57" s="43">
        <v>0</v>
      </c>
      <c r="BN57" s="43">
        <v>0</v>
      </c>
      <c r="BO57" s="43">
        <v>0</v>
      </c>
      <c r="BP57" s="43">
        <v>0</v>
      </c>
      <c r="BQ57" s="43">
        <v>0</v>
      </c>
      <c r="BR57" s="43">
        <v>0</v>
      </c>
      <c r="BS57" s="43">
        <v>0</v>
      </c>
      <c r="BT57" s="43">
        <v>0</v>
      </c>
      <c r="BU57" s="43">
        <v>0</v>
      </c>
      <c r="BV57" s="43">
        <v>0</v>
      </c>
      <c r="BW57" s="43">
        <v>0</v>
      </c>
      <c r="BX57" s="43">
        <v>0</v>
      </c>
      <c r="BY57" s="43">
        <v>0</v>
      </c>
      <c r="BZ57" s="43">
        <v>0</v>
      </c>
    </row>
    <row r="58" spans="1:78" hidden="1" x14ac:dyDescent="0.25">
      <c r="A58" s="61" t="s">
        <v>92</v>
      </c>
      <c r="B58" s="35">
        <v>16</v>
      </c>
      <c r="C58" s="8" t="s">
        <v>5</v>
      </c>
      <c r="D58" s="7">
        <v>1018</v>
      </c>
      <c r="E58" s="63">
        <f>SUM(Q58:BZ58)</f>
        <v>0</v>
      </c>
      <c r="F58" s="5" t="s">
        <v>56</v>
      </c>
      <c r="G58" s="10"/>
      <c r="H58" s="49"/>
      <c r="I58" s="35"/>
      <c r="J58" s="35"/>
      <c r="K58" s="35"/>
      <c r="L58" s="9"/>
      <c r="M58" s="53"/>
      <c r="N58" s="53"/>
      <c r="O58" s="53"/>
      <c r="P58" s="5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</row>
    <row r="59" spans="1:78" hidden="1" x14ac:dyDescent="0.25">
      <c r="A59" s="61" t="s">
        <v>93</v>
      </c>
      <c r="B59" s="35">
        <v>16</v>
      </c>
      <c r="C59" s="8" t="s">
        <v>5</v>
      </c>
      <c r="D59" s="7">
        <v>1018</v>
      </c>
      <c r="E59" s="64">
        <f>E58-E57</f>
        <v>-2874.7452471482893</v>
      </c>
      <c r="F59" s="5" t="s">
        <v>56</v>
      </c>
      <c r="G59" s="50"/>
      <c r="H59" s="35"/>
      <c r="I59" s="35"/>
      <c r="J59" s="35"/>
      <c r="K59" s="35"/>
      <c r="L59" s="35"/>
      <c r="M59" s="36"/>
      <c r="N59" s="36"/>
      <c r="O59" s="36"/>
      <c r="P59" s="36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</row>
    <row r="60" spans="1:78" hidden="1" x14ac:dyDescent="0.25">
      <c r="A60" s="61" t="s">
        <v>91</v>
      </c>
      <c r="B60" s="35">
        <v>17</v>
      </c>
      <c r="C60" s="8" t="s">
        <v>19</v>
      </c>
      <c r="D60" s="7">
        <v>1018</v>
      </c>
      <c r="E60" s="9">
        <v>2502</v>
      </c>
      <c r="F60" s="5" t="s">
        <v>56</v>
      </c>
      <c r="G60" s="10">
        <v>125.64285714285714</v>
      </c>
      <c r="H60" s="49">
        <v>21</v>
      </c>
      <c r="I60" s="35">
        <v>136.5</v>
      </c>
      <c r="J60" s="35">
        <v>3</v>
      </c>
      <c r="K60" s="35">
        <v>252</v>
      </c>
      <c r="L60" s="9">
        <v>125.64285714285714</v>
      </c>
      <c r="M60" s="53">
        <v>434.60814652988734</v>
      </c>
      <c r="N60" s="53">
        <v>560.25100367274445</v>
      </c>
      <c r="O60" s="53">
        <v>125.64285714285711</v>
      </c>
      <c r="P60" s="53">
        <v>560.25100367274445</v>
      </c>
      <c r="Q60" s="43">
        <v>1</v>
      </c>
      <c r="R60" s="43">
        <v>1</v>
      </c>
      <c r="S60" s="43">
        <v>1</v>
      </c>
      <c r="T60" s="43">
        <v>1</v>
      </c>
      <c r="U60" s="43">
        <v>1</v>
      </c>
      <c r="V60" s="43">
        <v>1</v>
      </c>
      <c r="W60" s="43">
        <v>1</v>
      </c>
      <c r="X60" s="43">
        <v>1</v>
      </c>
      <c r="Y60" s="43">
        <v>1</v>
      </c>
      <c r="Z60" s="43">
        <v>1</v>
      </c>
      <c r="AA60" s="43">
        <v>1</v>
      </c>
      <c r="AB60" s="43">
        <v>1</v>
      </c>
      <c r="AC60" s="43">
        <v>1</v>
      </c>
      <c r="AD60" s="43">
        <v>1</v>
      </c>
      <c r="AE60" s="43">
        <v>1</v>
      </c>
      <c r="AF60" s="43">
        <v>1</v>
      </c>
      <c r="AG60" s="43">
        <v>1</v>
      </c>
      <c r="AH60" s="43">
        <v>1</v>
      </c>
      <c r="AI60" s="43">
        <v>1</v>
      </c>
      <c r="AJ60" s="43">
        <v>1</v>
      </c>
      <c r="AK60" s="43">
        <v>1</v>
      </c>
      <c r="AL60" s="43">
        <v>1</v>
      </c>
      <c r="AM60" s="43">
        <v>1</v>
      </c>
      <c r="AN60" s="43">
        <v>1</v>
      </c>
      <c r="AO60" s="43">
        <v>1</v>
      </c>
      <c r="AP60" s="43">
        <v>1</v>
      </c>
      <c r="AQ60" s="43">
        <v>1</v>
      </c>
      <c r="AR60" s="43">
        <v>1</v>
      </c>
      <c r="AS60" s="43">
        <v>1</v>
      </c>
      <c r="AT60" s="43">
        <v>1</v>
      </c>
      <c r="AU60" s="43">
        <v>1</v>
      </c>
      <c r="AV60" s="43">
        <v>1</v>
      </c>
      <c r="AW60" s="43">
        <v>1</v>
      </c>
      <c r="AX60" s="43">
        <v>1</v>
      </c>
      <c r="AY60" s="43">
        <v>1</v>
      </c>
      <c r="AZ60" s="43">
        <v>1</v>
      </c>
      <c r="BA60" s="43">
        <v>1</v>
      </c>
      <c r="BB60" s="43">
        <v>252</v>
      </c>
      <c r="BC60" s="43">
        <v>252</v>
      </c>
      <c r="BD60" s="43">
        <v>252</v>
      </c>
      <c r="BE60" s="43">
        <v>252</v>
      </c>
      <c r="BF60" s="43">
        <v>252</v>
      </c>
      <c r="BG60" s="43">
        <v>252</v>
      </c>
      <c r="BH60" s="43">
        <v>252</v>
      </c>
      <c r="BI60" s="43">
        <v>252</v>
      </c>
      <c r="BJ60" s="43">
        <v>252</v>
      </c>
      <c r="BK60" s="43">
        <v>252</v>
      </c>
      <c r="BL60" s="43">
        <v>0</v>
      </c>
      <c r="BM60" s="43">
        <v>0</v>
      </c>
      <c r="BN60" s="43">
        <v>0</v>
      </c>
      <c r="BO60" s="43">
        <v>0</v>
      </c>
      <c r="BP60" s="43">
        <v>0</v>
      </c>
      <c r="BQ60" s="43">
        <v>0</v>
      </c>
      <c r="BR60" s="43">
        <v>0</v>
      </c>
      <c r="BS60" s="43">
        <v>0</v>
      </c>
      <c r="BT60" s="43">
        <v>0</v>
      </c>
      <c r="BU60" s="43">
        <v>0</v>
      </c>
      <c r="BV60" s="43">
        <v>0</v>
      </c>
      <c r="BW60" s="43">
        <v>0</v>
      </c>
      <c r="BX60" s="43">
        <v>0</v>
      </c>
      <c r="BY60" s="43">
        <v>0</v>
      </c>
      <c r="BZ60" s="43">
        <v>0</v>
      </c>
    </row>
    <row r="61" spans="1:78" hidden="1" x14ac:dyDescent="0.25">
      <c r="A61" s="61" t="s">
        <v>92</v>
      </c>
      <c r="B61" s="35">
        <v>17</v>
      </c>
      <c r="C61" s="8" t="s">
        <v>19</v>
      </c>
      <c r="D61" s="7">
        <v>1018</v>
      </c>
      <c r="E61" s="63">
        <f>SUM(Q61:BZ61)</f>
        <v>0</v>
      </c>
      <c r="F61" s="5" t="s">
        <v>56</v>
      </c>
      <c r="G61" s="50"/>
      <c r="H61" s="49"/>
      <c r="I61" s="35"/>
      <c r="J61" s="35"/>
      <c r="K61" s="35"/>
      <c r="L61" s="9"/>
      <c r="M61" s="53"/>
      <c r="N61" s="53"/>
      <c r="O61" s="53"/>
      <c r="P61" s="5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</row>
    <row r="62" spans="1:78" hidden="1" x14ac:dyDescent="0.25">
      <c r="A62" s="61" t="s">
        <v>93</v>
      </c>
      <c r="B62" s="35">
        <v>17</v>
      </c>
      <c r="C62" s="8" t="s">
        <v>19</v>
      </c>
      <c r="D62" s="7">
        <v>1018</v>
      </c>
      <c r="E62" s="64">
        <f>E61-E60</f>
        <v>-2502</v>
      </c>
      <c r="F62" s="5" t="s">
        <v>56</v>
      </c>
      <c r="G62" s="35"/>
      <c r="H62" s="35"/>
      <c r="I62" s="35"/>
      <c r="J62" s="35"/>
      <c r="K62" s="35"/>
      <c r="L62" s="35"/>
      <c r="M62" s="36"/>
      <c r="N62" s="36"/>
      <c r="O62" s="36"/>
      <c r="P62" s="36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</row>
    <row r="63" spans="1:78" hidden="1" x14ac:dyDescent="0.25">
      <c r="A63" s="61" t="s">
        <v>91</v>
      </c>
      <c r="B63" s="35">
        <v>18</v>
      </c>
      <c r="C63" s="8" t="s">
        <v>17</v>
      </c>
      <c r="D63" s="7">
        <v>1018</v>
      </c>
      <c r="E63" s="9">
        <v>1000</v>
      </c>
      <c r="F63" s="5" t="s">
        <v>56</v>
      </c>
      <c r="G63" s="50">
        <v>45.666666666666664</v>
      </c>
      <c r="H63" s="49">
        <v>24</v>
      </c>
      <c r="I63" s="35">
        <v>96</v>
      </c>
      <c r="J63" s="35">
        <v>1.5</v>
      </c>
      <c r="K63" s="35">
        <v>288</v>
      </c>
      <c r="L63" s="9">
        <v>45.666666666666664</v>
      </c>
      <c r="M63" s="53">
        <v>560.25100367274445</v>
      </c>
      <c r="N63" s="53">
        <v>605.91767033941107</v>
      </c>
      <c r="O63" s="53">
        <v>45.666666666666629</v>
      </c>
      <c r="P63" s="53">
        <v>605.91767033941107</v>
      </c>
      <c r="Q63" s="43">
        <v>1</v>
      </c>
      <c r="R63" s="43">
        <v>1</v>
      </c>
      <c r="S63" s="43">
        <v>1</v>
      </c>
      <c r="T63" s="43">
        <v>1</v>
      </c>
      <c r="U63" s="43">
        <v>1</v>
      </c>
      <c r="V63" s="43">
        <v>1</v>
      </c>
      <c r="W63" s="43">
        <v>1</v>
      </c>
      <c r="X63" s="43">
        <v>1</v>
      </c>
      <c r="Y63" s="43">
        <v>1</v>
      </c>
      <c r="Z63" s="43">
        <v>1</v>
      </c>
      <c r="AA63" s="43">
        <v>1</v>
      </c>
      <c r="AB63" s="43">
        <v>1</v>
      </c>
      <c r="AC63" s="43">
        <v>1</v>
      </c>
      <c r="AD63" s="43">
        <v>1</v>
      </c>
      <c r="AE63" s="43">
        <v>1</v>
      </c>
      <c r="AF63" s="43">
        <v>1</v>
      </c>
      <c r="AG63" s="43">
        <v>1</v>
      </c>
      <c r="AH63" s="43">
        <v>1</v>
      </c>
      <c r="AI63" s="43">
        <v>1</v>
      </c>
      <c r="AJ63" s="43">
        <v>1</v>
      </c>
      <c r="AK63" s="43">
        <v>1</v>
      </c>
      <c r="AL63" s="43">
        <v>1</v>
      </c>
      <c r="AM63" s="43">
        <v>1</v>
      </c>
      <c r="AN63" s="43">
        <v>1</v>
      </c>
      <c r="AO63" s="43">
        <v>1</v>
      </c>
      <c r="AP63" s="43">
        <v>1</v>
      </c>
      <c r="AQ63" s="43">
        <v>1</v>
      </c>
      <c r="AR63" s="43">
        <v>1</v>
      </c>
      <c r="AS63" s="43">
        <v>1</v>
      </c>
      <c r="AT63" s="43">
        <v>1</v>
      </c>
      <c r="AU63" s="43">
        <v>1</v>
      </c>
      <c r="AV63" s="43">
        <v>1</v>
      </c>
      <c r="AW63" s="43">
        <v>1</v>
      </c>
      <c r="AX63" s="43">
        <v>1</v>
      </c>
      <c r="AY63" s="43">
        <v>1</v>
      </c>
      <c r="AZ63" s="43">
        <v>1</v>
      </c>
      <c r="BA63" s="43">
        <v>1</v>
      </c>
      <c r="BB63" s="43">
        <v>1</v>
      </c>
      <c r="BC63" s="43">
        <v>1</v>
      </c>
      <c r="BD63" s="43">
        <v>1</v>
      </c>
      <c r="BE63" s="43">
        <v>1</v>
      </c>
      <c r="BF63" s="43">
        <v>1</v>
      </c>
      <c r="BG63" s="43">
        <v>1</v>
      </c>
      <c r="BH63" s="43">
        <v>1</v>
      </c>
      <c r="BI63" s="43">
        <v>1</v>
      </c>
      <c r="BJ63" s="43">
        <v>1</v>
      </c>
      <c r="BK63" s="43">
        <v>1</v>
      </c>
      <c r="BL63" s="43">
        <v>288</v>
      </c>
      <c r="BM63" s="43">
        <v>288</v>
      </c>
      <c r="BN63" s="43">
        <v>288</v>
      </c>
      <c r="BO63" s="43">
        <v>288</v>
      </c>
      <c r="BP63" s="43">
        <v>0</v>
      </c>
      <c r="BQ63" s="43">
        <v>0</v>
      </c>
      <c r="BR63" s="43">
        <v>0</v>
      </c>
      <c r="BS63" s="43">
        <v>0</v>
      </c>
      <c r="BT63" s="43">
        <v>0</v>
      </c>
      <c r="BU63" s="43">
        <v>0</v>
      </c>
      <c r="BV63" s="43">
        <v>0</v>
      </c>
      <c r="BW63" s="43">
        <v>0</v>
      </c>
      <c r="BX63" s="43">
        <v>0</v>
      </c>
      <c r="BY63" s="43">
        <v>0</v>
      </c>
      <c r="BZ63" s="43">
        <v>0</v>
      </c>
    </row>
    <row r="64" spans="1:78" hidden="1" x14ac:dyDescent="0.25">
      <c r="A64" s="61" t="s">
        <v>92</v>
      </c>
      <c r="B64" s="35">
        <v>18</v>
      </c>
      <c r="C64" s="8" t="s">
        <v>17</v>
      </c>
      <c r="D64" s="7">
        <v>1018</v>
      </c>
      <c r="E64" s="63">
        <f>SUM(Q64:BZ64)</f>
        <v>0</v>
      </c>
      <c r="F64" s="5" t="s">
        <v>56</v>
      </c>
      <c r="G64" s="35"/>
      <c r="H64" s="35"/>
      <c r="I64" s="35"/>
      <c r="J64" s="35"/>
      <c r="K64" s="35"/>
      <c r="L64" s="35"/>
      <c r="M64" s="36"/>
      <c r="N64" s="36"/>
      <c r="O64" s="36"/>
      <c r="P64" s="36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</row>
    <row r="65" spans="1:78" hidden="1" x14ac:dyDescent="0.25">
      <c r="A65" s="61" t="s">
        <v>93</v>
      </c>
      <c r="B65" s="35">
        <v>18</v>
      </c>
      <c r="C65" s="8" t="s">
        <v>17</v>
      </c>
      <c r="D65" s="7">
        <v>1018</v>
      </c>
      <c r="E65" s="64">
        <f>E64-E63</f>
        <v>-1000</v>
      </c>
      <c r="F65" s="5" t="s">
        <v>56</v>
      </c>
      <c r="G65" s="10"/>
      <c r="H65" s="49"/>
      <c r="I65" s="35"/>
      <c r="J65" s="35"/>
      <c r="K65" s="35"/>
      <c r="L65" s="9"/>
      <c r="M65" s="53"/>
      <c r="N65" s="53"/>
      <c r="O65" s="53"/>
      <c r="P65" s="5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</row>
    <row r="66" spans="1:78" x14ac:dyDescent="0.25">
      <c r="A66" s="61" t="s">
        <v>91</v>
      </c>
      <c r="B66" s="35">
        <v>1</v>
      </c>
      <c r="C66" s="8" t="s">
        <v>37</v>
      </c>
      <c r="D66" s="7">
        <v>1018</v>
      </c>
      <c r="E66" s="9">
        <v>1000</v>
      </c>
      <c r="F66" s="5" t="s">
        <v>66</v>
      </c>
      <c r="G66" s="35">
        <v>53.11904761904762</v>
      </c>
      <c r="H66" s="35">
        <v>21</v>
      </c>
      <c r="I66" s="35">
        <v>115.5</v>
      </c>
      <c r="J66" s="35">
        <v>2</v>
      </c>
      <c r="K66" s="35">
        <v>252</v>
      </c>
      <c r="L66" s="35">
        <v>53.11904761904762</v>
      </c>
      <c r="M66" s="36">
        <v>0</v>
      </c>
      <c r="N66" s="36">
        <v>53.11904761904762</v>
      </c>
      <c r="O66" s="36">
        <v>53.11904761904762</v>
      </c>
      <c r="P66" s="36">
        <v>53.11904761904762</v>
      </c>
      <c r="Q66" s="43">
        <f>IF(I66&gt;K66,"П",K66-I66)</f>
        <v>136.5</v>
      </c>
      <c r="R66" s="43">
        <f>IF(Q66&lt;$E$66,$K66,0)</f>
        <v>252</v>
      </c>
      <c r="S66" s="43">
        <f>IF(SUM($Q66:R66)&lt;$E$66,$K66,0)</f>
        <v>252</v>
      </c>
      <c r="T66" s="43">
        <f>IF(SUM($Q66:S66)&lt;$E$66,$K66,0)</f>
        <v>252</v>
      </c>
      <c r="U66" s="43">
        <f>IF(SUM($Q66:T66)&lt;$E$66,IF((SUM($Q66:T66)+K66)&lt;E66,$K66,E66-SUM($Q66:T66)))</f>
        <v>107.5</v>
      </c>
      <c r="V66" s="43">
        <f>IF(SUM($Q66:U66)&lt;$E$66,$K66,0)</f>
        <v>0</v>
      </c>
      <c r="W66" s="43">
        <f>IF(SUM($Q66:V66)&lt;$E$66,$K66,0)</f>
        <v>0</v>
      </c>
      <c r="X66" s="43">
        <f>IF(SUM($Q66:W66)&lt;$E$66,$K66,0)</f>
        <v>0</v>
      </c>
      <c r="Y66" s="43">
        <f>IF(SUM($Q66:X66)&lt;$E$66,$K66,0)</f>
        <v>0</v>
      </c>
      <c r="Z66" s="43">
        <f>IF(SUM($Q66:Y66)&lt;$E$66,$K66,0)</f>
        <v>0</v>
      </c>
      <c r="AA66" s="43">
        <f>IF(SUM($Q66:Z66)&lt;$E$66,$K66,0)</f>
        <v>0</v>
      </c>
      <c r="AB66" s="43">
        <f>IF(SUM($Q66:AA66)&lt;$E$66,$K66,0)</f>
        <v>0</v>
      </c>
      <c r="AC66" s="43">
        <f>IF(SUM($Q66:AB66)&lt;$E$66,$K66,0)</f>
        <v>0</v>
      </c>
      <c r="AD66" s="43">
        <f>IF(SUM($Q66:AC66)&lt;$E$66,$K66,0)</f>
        <v>0</v>
      </c>
      <c r="AE66" s="43">
        <f>IF(SUM($Q66:AD66)&lt;$E$66,$K66,0)</f>
        <v>0</v>
      </c>
      <c r="AF66" s="43">
        <f>IF(SUM($Q66:AE66)&lt;$E$66,$K66,0)</f>
        <v>0</v>
      </c>
      <c r="AG66" s="43">
        <f>IF(SUM($Q66:AF66)&lt;$E$66,$K66,0)</f>
        <v>0</v>
      </c>
      <c r="AH66" s="43">
        <f>IF(SUM($Q66:AG66)&lt;$E$66,$K66,0)</f>
        <v>0</v>
      </c>
      <c r="AI66" s="43">
        <f>IF(SUM($Q66:AH66)&lt;$E$66,$K66,0)</f>
        <v>0</v>
      </c>
      <c r="AJ66" s="43">
        <f>IF(SUM($Q66:AI66)&lt;$E$66,$K66,0)</f>
        <v>0</v>
      </c>
      <c r="AK66" s="43">
        <f>IF(SUM($Q66:AJ66)&lt;$E$66,$K66,0)</f>
        <v>0</v>
      </c>
      <c r="AL66" s="43">
        <f>IF(SUM($Q66:AK66)&lt;$E$66,$K66,0)</f>
        <v>0</v>
      </c>
      <c r="AM66" s="43">
        <f>IF(SUM($Q66:AL66)&lt;$E$66,$K66,0)</f>
        <v>0</v>
      </c>
      <c r="AN66" s="43">
        <f>IF(SUM($Q66:AM66)&lt;$E$66,$K66,0)</f>
        <v>0</v>
      </c>
      <c r="AO66" s="43">
        <f>IF(SUM($Q66:AN66)&lt;$E$66,$K66,0)</f>
        <v>0</v>
      </c>
      <c r="AP66" s="43">
        <f>IF(SUM($Q66:AO66)&lt;$E$66,$K66,0)</f>
        <v>0</v>
      </c>
      <c r="AQ66" s="43">
        <f>IF(SUM($Q66:AP66)&lt;$E$66,$K66,0)</f>
        <v>0</v>
      </c>
      <c r="AR66" s="43">
        <f>IF(SUM($Q66:AQ66)&lt;$E$66,$K66,0)</f>
        <v>0</v>
      </c>
      <c r="AS66" s="43">
        <f>IF(SUM($Q66:AR66)&lt;$E$66,$K66,0)</f>
        <v>0</v>
      </c>
      <c r="AT66" s="43">
        <f>IF(SUM($Q66:AS66)&lt;$E$66,$K66,0)</f>
        <v>0</v>
      </c>
      <c r="AU66" s="43">
        <f>IF(SUM($Q66:AT66)&lt;$E$66,$K66,0)</f>
        <v>0</v>
      </c>
      <c r="AV66" s="43">
        <f>IF(SUM($Q66:AU66)&lt;$E$66,$K66,0)</f>
        <v>0</v>
      </c>
      <c r="AW66" s="43">
        <f>IF(SUM($Q66:AV66)&lt;$E$66,$K66,0)</f>
        <v>0</v>
      </c>
      <c r="AX66" s="43">
        <f>IF(SUM($Q66:AW66)&lt;$E$66,$K66,0)</f>
        <v>0</v>
      </c>
      <c r="AY66" s="43">
        <f>IF(SUM($Q66:AX66)&lt;$E$66,$K66,0)</f>
        <v>0</v>
      </c>
      <c r="AZ66" s="43">
        <f>IF(SUM($Q66:AY66)&lt;$E$66,$K66,0)</f>
        <v>0</v>
      </c>
      <c r="BA66" s="43">
        <f>IF(SUM($Q66:AZ66)&lt;$E$66,$K66,0)</f>
        <v>0</v>
      </c>
      <c r="BB66" s="43">
        <f>IF(SUM($Q66:BA66)&lt;$E$66,$K66,0)</f>
        <v>0</v>
      </c>
      <c r="BC66" s="43">
        <f>IF(SUM($Q66:BB66)&lt;$E$66,$K66,0)</f>
        <v>0</v>
      </c>
      <c r="BD66" s="43">
        <f>IF(SUM($Q66:BC66)&lt;$E$66,$K66,0)</f>
        <v>0</v>
      </c>
      <c r="BE66" s="43">
        <f>IF(SUM($Q66:BD66)&lt;$E$66,$K66,0)</f>
        <v>0</v>
      </c>
      <c r="BF66" s="43">
        <f>IF(SUM($Q66:BE66)&lt;$E$66,$K66,0)</f>
        <v>0</v>
      </c>
      <c r="BG66" s="43">
        <f>IF(SUM($Q66:BF66)&lt;$E$66,$K66,0)</f>
        <v>0</v>
      </c>
      <c r="BH66" s="43">
        <f>IF(SUM($Q66:BG66)&lt;$E$66,$K66,0)</f>
        <v>0</v>
      </c>
      <c r="BI66" s="43">
        <f>IF(SUM($Q66:BH66)&lt;$E$66,$K66,0)</f>
        <v>0</v>
      </c>
      <c r="BJ66" s="43">
        <f>IF(SUM($Q66:BI66)&lt;$E$66,$K66,0)</f>
        <v>0</v>
      </c>
      <c r="BK66" s="43">
        <f>IF(SUM($Q66:BJ66)&lt;$E$66,$K66,0)</f>
        <v>0</v>
      </c>
      <c r="BL66" s="43">
        <f>IF(SUM($Q66:BK66)&lt;$E$66,$K66,0)</f>
        <v>0</v>
      </c>
      <c r="BM66" s="43">
        <f>IF(SUM($Q66:BL66)&lt;$E$66,$K66,0)</f>
        <v>0</v>
      </c>
      <c r="BN66" s="43">
        <f>IF(SUM($Q66:BM66)&lt;$E$66,$K66,0)</f>
        <v>0</v>
      </c>
      <c r="BO66" s="43">
        <f>IF(SUM($Q66:BN66)&lt;$E$66,$K66,0)</f>
        <v>0</v>
      </c>
      <c r="BP66" s="43">
        <f>IF(SUM($Q66:BO66)&lt;$E$66,$K66,0)</f>
        <v>0</v>
      </c>
      <c r="BQ66" s="43">
        <f>IF(SUM($Q66:BP66)&lt;$E$66,$K66,0)</f>
        <v>0</v>
      </c>
      <c r="BR66" s="43">
        <f>IF(SUM($Q66:BQ66)&lt;$E$66,$K66,0)</f>
        <v>0</v>
      </c>
      <c r="BS66" s="43">
        <f>IF(SUM($Q66:BR66)&lt;$E$66,$K66,0)</f>
        <v>0</v>
      </c>
      <c r="BT66" s="43">
        <f>IF(SUM($Q66:BS66)&lt;$E$66,$K66,0)</f>
        <v>0</v>
      </c>
      <c r="BU66" s="43">
        <f>IF(SUM($Q66:BT66)&lt;$E$66,$K66,0)</f>
        <v>0</v>
      </c>
      <c r="BV66" s="43">
        <f>IF(SUM($Q66:BU66)&lt;$E$66,$K66,0)</f>
        <v>0</v>
      </c>
      <c r="BW66" s="43">
        <f>IF(SUM($Q66:BV66)&lt;$E$66,$K66,0)</f>
        <v>0</v>
      </c>
      <c r="BX66" s="43">
        <f>IF(SUM($Q66:BW66)&lt;$E$66,$K66,0)</f>
        <v>0</v>
      </c>
      <c r="BY66" s="43">
        <f>IF(SUM($Q66:BX66)&lt;$E$66,$K66,0)</f>
        <v>0</v>
      </c>
      <c r="BZ66" s="43">
        <f>IF(SUM($Q66:BY66)&lt;$E$66,$K66,0)</f>
        <v>0</v>
      </c>
    </row>
    <row r="67" spans="1:78" hidden="1" x14ac:dyDescent="0.25">
      <c r="A67" s="61" t="s">
        <v>92</v>
      </c>
      <c r="B67" s="35">
        <v>1</v>
      </c>
      <c r="C67" s="8" t="s">
        <v>37</v>
      </c>
      <c r="D67" s="7">
        <v>1018</v>
      </c>
      <c r="E67" s="63">
        <f>SUM(Q67:BZ67)</f>
        <v>0</v>
      </c>
      <c r="F67" s="5" t="s">
        <v>66</v>
      </c>
      <c r="G67" s="10"/>
      <c r="H67" s="49"/>
      <c r="I67" s="35"/>
      <c r="J67" s="35"/>
      <c r="K67" s="35"/>
      <c r="L67" s="9"/>
      <c r="M67" s="53"/>
      <c r="N67" s="53"/>
      <c r="O67" s="53"/>
      <c r="P67" s="5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</row>
    <row r="68" spans="1:78" hidden="1" x14ac:dyDescent="0.25">
      <c r="A68" s="61" t="s">
        <v>93</v>
      </c>
      <c r="B68" s="35">
        <v>1</v>
      </c>
      <c r="C68" s="8" t="s">
        <v>37</v>
      </c>
      <c r="D68" s="7">
        <v>1018</v>
      </c>
      <c r="E68" s="64">
        <f>E67-E66</f>
        <v>-1000</v>
      </c>
      <c r="F68" s="5" t="s">
        <v>66</v>
      </c>
      <c r="G68" s="50"/>
      <c r="H68" s="35"/>
      <c r="I68" s="35"/>
      <c r="J68" s="35"/>
      <c r="K68" s="35"/>
      <c r="L68" s="35"/>
      <c r="M68" s="36"/>
      <c r="N68" s="36"/>
      <c r="O68" s="36"/>
      <c r="P68" s="36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</row>
    <row r="69" spans="1:78" x14ac:dyDescent="0.25">
      <c r="A69" s="61" t="s">
        <v>91</v>
      </c>
      <c r="B69" s="35">
        <v>2</v>
      </c>
      <c r="C69" s="8" t="s">
        <v>27</v>
      </c>
      <c r="D69" s="7">
        <v>1018</v>
      </c>
      <c r="E69" s="9">
        <v>4449.7593600000009</v>
      </c>
      <c r="F69" s="5" t="s">
        <v>66</v>
      </c>
      <c r="G69" s="10">
        <v>218.39330285714291</v>
      </c>
      <c r="H69" s="49">
        <v>21</v>
      </c>
      <c r="I69" s="35">
        <v>136.5</v>
      </c>
      <c r="J69" s="35">
        <v>2</v>
      </c>
      <c r="K69" s="35">
        <v>252</v>
      </c>
      <c r="L69" s="9">
        <v>218.39330285714291</v>
      </c>
      <c r="M69" s="53">
        <v>53.11904761904762</v>
      </c>
      <c r="N69" s="53">
        <v>271.51235047619053</v>
      </c>
      <c r="O69" s="53">
        <v>218.39330285714291</v>
      </c>
      <c r="P69" s="53">
        <v>271.51235047619053</v>
      </c>
      <c r="Q69" s="43">
        <v>1</v>
      </c>
      <c r="R69" s="43">
        <v>1</v>
      </c>
      <c r="S69" s="43">
        <v>1</v>
      </c>
      <c r="T69" s="43">
        <v>1</v>
      </c>
      <c r="U69" s="43">
        <v>1</v>
      </c>
      <c r="V69" s="43">
        <f>IF(U66&gt;0,IF(K69&gt;I69,K69-I69,"П"))</f>
        <v>115.5</v>
      </c>
      <c r="W69" s="43">
        <f>IF(V69&lt;$E$69,$K69,0)</f>
        <v>252</v>
      </c>
      <c r="X69" s="43">
        <f>IF(SUM($Q66:R66)&lt;$E$69,$K69,0)</f>
        <v>252</v>
      </c>
      <c r="Y69" s="43">
        <f>IF(SUM($Q66:S66)&lt;$E$69,$K69,0)</f>
        <v>252</v>
      </c>
      <c r="Z69" s="43">
        <f>IF(SUM($Q66:T66)&lt;$E$69,$K69,0)</f>
        <v>252</v>
      </c>
      <c r="AA69" s="43">
        <f>IF(SUM($Q66:U66)&lt;$E$69,$K69,0)</f>
        <v>252</v>
      </c>
      <c r="AB69" s="43">
        <f>IF(SUM($Q66:V66)&lt;$E$69,$K69,0)</f>
        <v>252</v>
      </c>
      <c r="AC69" s="43">
        <f>IF(SUM($Q66:W66)&lt;$E$69,$K69,0)</f>
        <v>252</v>
      </c>
      <c r="AD69" s="43">
        <f>IF(SUM($Q66:X66)&lt;$E$69,$K69,0)</f>
        <v>252</v>
      </c>
      <c r="AE69" s="43">
        <f>IF(SUM($Q66:Y66)&lt;$E$69,$K69,0)</f>
        <v>252</v>
      </c>
      <c r="AF69" s="43">
        <f>IF(SUM($Q66:Z66)&lt;$E$69,$K69,0)</f>
        <v>252</v>
      </c>
      <c r="AG69" s="43">
        <f>IF(SUM($Q66:AA66)&lt;$E$69,$K69,0)</f>
        <v>252</v>
      </c>
      <c r="AH69" s="43">
        <f>IF(SUM($Q66:AB66)&lt;$E$69,$K69,0)</f>
        <v>252</v>
      </c>
      <c r="AI69" s="43">
        <f>IF(SUM($Q66:AC66)&lt;$E$69,$K69,0)</f>
        <v>252</v>
      </c>
      <c r="AJ69" s="43">
        <f>IF(SUM($Q66:AD66)&lt;$E$69,$K69,0)</f>
        <v>252</v>
      </c>
      <c r="AK69" s="43">
        <f>IF(SUM($Q66:AE66)&lt;$E$69,$K69,0)</f>
        <v>252</v>
      </c>
      <c r="AL69" s="43">
        <f>IF(SUM($Q66:AF66)&lt;$E$69,$K69,0)</f>
        <v>252</v>
      </c>
      <c r="AM69" s="43">
        <f>IF(SUM($Q66:T66)&lt;$E$66,IF((SUM($Q66:T66)+K66)&lt;E66,$K66,E66-SUM($Q66:T66)))</f>
        <v>107.5</v>
      </c>
      <c r="AN69" s="43">
        <v>0</v>
      </c>
      <c r="AO69" s="43">
        <v>0</v>
      </c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43">
        <v>0</v>
      </c>
      <c r="BK69" s="43">
        <v>0</v>
      </c>
      <c r="BL69" s="43">
        <v>0</v>
      </c>
      <c r="BM69" s="43">
        <v>0</v>
      </c>
      <c r="BN69" s="43">
        <v>0</v>
      </c>
      <c r="BO69" s="43">
        <v>0</v>
      </c>
      <c r="BP69" s="43">
        <v>0</v>
      </c>
      <c r="BQ69" s="43">
        <v>0</v>
      </c>
      <c r="BR69" s="43">
        <v>0</v>
      </c>
      <c r="BS69" s="43">
        <v>0</v>
      </c>
      <c r="BT69" s="43">
        <v>0</v>
      </c>
      <c r="BU69" s="43">
        <v>0</v>
      </c>
      <c r="BV69" s="43">
        <v>0</v>
      </c>
      <c r="BW69" s="43">
        <v>0</v>
      </c>
      <c r="BX69" s="43">
        <v>0</v>
      </c>
      <c r="BY69" s="43">
        <v>0</v>
      </c>
      <c r="BZ69" s="43">
        <v>0</v>
      </c>
    </row>
    <row r="70" spans="1:78" hidden="1" x14ac:dyDescent="0.25">
      <c r="A70" s="61" t="s">
        <v>92</v>
      </c>
      <c r="B70" s="35">
        <v>2</v>
      </c>
      <c r="C70" s="8" t="s">
        <v>27</v>
      </c>
      <c r="D70" s="7">
        <v>1018</v>
      </c>
      <c r="E70" s="63">
        <f>SUM(Q70:BZ70)</f>
        <v>0</v>
      </c>
      <c r="F70" s="5" t="s">
        <v>66</v>
      </c>
      <c r="G70" s="50"/>
      <c r="H70" s="49"/>
      <c r="I70" s="35"/>
      <c r="J70" s="35"/>
      <c r="K70" s="35"/>
      <c r="L70" s="9"/>
      <c r="M70" s="53"/>
      <c r="N70" s="53"/>
      <c r="O70" s="53"/>
      <c r="P70" s="5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</row>
    <row r="71" spans="1:78" hidden="1" x14ac:dyDescent="0.25">
      <c r="A71" s="61" t="s">
        <v>93</v>
      </c>
      <c r="B71" s="35">
        <v>2</v>
      </c>
      <c r="C71" s="8" t="s">
        <v>27</v>
      </c>
      <c r="D71" s="7">
        <v>1018</v>
      </c>
      <c r="E71" s="64">
        <f>E70-E69</f>
        <v>-4449.7593600000009</v>
      </c>
      <c r="F71" s="5" t="s">
        <v>66</v>
      </c>
      <c r="G71" s="35"/>
      <c r="H71" s="35"/>
      <c r="I71" s="35"/>
      <c r="J71" s="35"/>
      <c r="K71" s="35"/>
      <c r="L71" s="35"/>
      <c r="M71" s="36"/>
      <c r="N71" s="36"/>
      <c r="O71" s="36"/>
      <c r="P71" s="36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</row>
    <row r="72" spans="1:78" x14ac:dyDescent="0.25">
      <c r="A72" s="61" t="s">
        <v>91</v>
      </c>
      <c r="B72" s="35">
        <v>3</v>
      </c>
      <c r="C72" s="8" t="s">
        <v>29</v>
      </c>
      <c r="D72" s="7">
        <v>1018</v>
      </c>
      <c r="E72" s="9">
        <v>60.000000000000014</v>
      </c>
      <c r="F72" s="5" t="s">
        <v>66</v>
      </c>
      <c r="G72" s="50">
        <v>9.8571428571428577</v>
      </c>
      <c r="H72" s="49">
        <v>21</v>
      </c>
      <c r="I72" s="35">
        <v>147</v>
      </c>
      <c r="J72" s="35">
        <v>2</v>
      </c>
      <c r="K72" s="35">
        <v>252</v>
      </c>
      <c r="L72" s="9">
        <v>9.8571428571428577</v>
      </c>
      <c r="M72" s="53">
        <v>271.51235047619053</v>
      </c>
      <c r="N72" s="53">
        <v>281.36949333333337</v>
      </c>
      <c r="O72" s="53">
        <v>9.8571428571428328</v>
      </c>
      <c r="P72" s="53">
        <v>281.36949333333337</v>
      </c>
      <c r="Q72" s="43">
        <v>1</v>
      </c>
      <c r="R72" s="43">
        <v>1</v>
      </c>
      <c r="S72" s="43">
        <v>1</v>
      </c>
      <c r="T72" s="43">
        <v>1</v>
      </c>
      <c r="U72" s="43">
        <v>1</v>
      </c>
      <c r="V72" s="43">
        <v>1</v>
      </c>
      <c r="W72" s="43">
        <v>1</v>
      </c>
      <c r="X72" s="43">
        <v>1</v>
      </c>
      <c r="Y72" s="43">
        <v>1</v>
      </c>
      <c r="Z72" s="43">
        <v>1</v>
      </c>
      <c r="AA72" s="43">
        <v>1</v>
      </c>
      <c r="AB72" s="43">
        <v>1</v>
      </c>
      <c r="AC72" s="43">
        <v>1</v>
      </c>
      <c r="AD72" s="43">
        <v>1</v>
      </c>
      <c r="AE72" s="43">
        <v>1</v>
      </c>
      <c r="AF72" s="43">
        <v>1</v>
      </c>
      <c r="AG72" s="43">
        <v>1</v>
      </c>
      <c r="AH72" s="43">
        <v>1</v>
      </c>
      <c r="AI72" s="43">
        <v>1</v>
      </c>
      <c r="AJ72" s="43">
        <v>1</v>
      </c>
      <c r="AK72" s="43">
        <v>1</v>
      </c>
      <c r="AL72" s="43">
        <v>1</v>
      </c>
      <c r="AM72" s="43">
        <v>1</v>
      </c>
      <c r="AN72" s="43">
        <v>252</v>
      </c>
      <c r="AO72" s="43">
        <v>0</v>
      </c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43">
        <v>0</v>
      </c>
      <c r="BK72" s="43">
        <v>0</v>
      </c>
      <c r="BL72" s="43">
        <v>0</v>
      </c>
      <c r="BM72" s="43">
        <v>0</v>
      </c>
      <c r="BN72" s="43">
        <v>0</v>
      </c>
      <c r="BO72" s="43">
        <v>0</v>
      </c>
      <c r="BP72" s="43">
        <v>0</v>
      </c>
      <c r="BQ72" s="43">
        <v>0</v>
      </c>
      <c r="BR72" s="43">
        <v>0</v>
      </c>
      <c r="BS72" s="43">
        <v>0</v>
      </c>
      <c r="BT72" s="43">
        <v>0</v>
      </c>
      <c r="BU72" s="43">
        <v>0</v>
      </c>
      <c r="BV72" s="43">
        <v>0</v>
      </c>
      <c r="BW72" s="43">
        <v>0</v>
      </c>
      <c r="BX72" s="43">
        <v>0</v>
      </c>
      <c r="BY72" s="43">
        <v>0</v>
      </c>
      <c r="BZ72" s="43">
        <v>0</v>
      </c>
    </row>
    <row r="73" spans="1:78" hidden="1" x14ac:dyDescent="0.25">
      <c r="A73" s="61" t="s">
        <v>92</v>
      </c>
      <c r="B73" s="35">
        <v>3</v>
      </c>
      <c r="C73" s="8" t="s">
        <v>29</v>
      </c>
      <c r="D73" s="7">
        <v>1018</v>
      </c>
      <c r="E73" s="63">
        <f>SUM(Q73:BZ73)</f>
        <v>0</v>
      </c>
      <c r="F73" s="5" t="s">
        <v>66</v>
      </c>
      <c r="G73" s="35"/>
      <c r="H73" s="35"/>
      <c r="I73" s="35"/>
      <c r="J73" s="35"/>
      <c r="K73" s="35"/>
      <c r="L73" s="35"/>
      <c r="M73" s="36"/>
      <c r="N73" s="36"/>
      <c r="O73" s="36"/>
      <c r="P73" s="36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</row>
    <row r="74" spans="1:78" hidden="1" x14ac:dyDescent="0.25">
      <c r="A74" s="61" t="s">
        <v>93</v>
      </c>
      <c r="B74" s="35">
        <v>3</v>
      </c>
      <c r="C74" s="8" t="s">
        <v>29</v>
      </c>
      <c r="D74" s="7">
        <v>1018</v>
      </c>
      <c r="E74" s="64">
        <f>E73-E72</f>
        <v>-60.000000000000014</v>
      </c>
      <c r="F74" s="5" t="s">
        <v>66</v>
      </c>
      <c r="G74" s="10"/>
      <c r="H74" s="49"/>
      <c r="I74" s="35"/>
      <c r="J74" s="35"/>
      <c r="K74" s="35"/>
      <c r="L74" s="9"/>
      <c r="M74" s="53"/>
      <c r="N74" s="53"/>
      <c r="O74" s="53"/>
      <c r="P74" s="5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</row>
    <row r="75" spans="1:78" x14ac:dyDescent="0.25">
      <c r="A75" s="61" t="s">
        <v>91</v>
      </c>
      <c r="B75" s="35">
        <v>4</v>
      </c>
      <c r="C75" s="8" t="s">
        <v>23</v>
      </c>
      <c r="D75" s="7">
        <v>1018</v>
      </c>
      <c r="E75" s="9">
        <v>1288.5999999999999</v>
      </c>
      <c r="F75" s="5" t="s">
        <v>66</v>
      </c>
      <c r="G75" s="35">
        <v>80.588888888888889</v>
      </c>
      <c r="H75" s="35">
        <v>18</v>
      </c>
      <c r="I75" s="35">
        <v>162</v>
      </c>
      <c r="J75" s="35">
        <v>3</v>
      </c>
      <c r="K75" s="35">
        <v>216</v>
      </c>
      <c r="L75" s="35">
        <v>80.588888888888889</v>
      </c>
      <c r="M75" s="36">
        <v>281.36949333333337</v>
      </c>
      <c r="N75" s="36">
        <v>361.95838222222227</v>
      </c>
      <c r="O75" s="36">
        <v>80.588888888888903</v>
      </c>
      <c r="P75" s="36">
        <v>361.95838222222227</v>
      </c>
      <c r="Q75" s="43">
        <v>1</v>
      </c>
      <c r="R75" s="43">
        <v>1</v>
      </c>
      <c r="S75" s="43">
        <v>1</v>
      </c>
      <c r="T75" s="43">
        <v>1</v>
      </c>
      <c r="U75" s="43">
        <v>1</v>
      </c>
      <c r="V75" s="43">
        <v>1</v>
      </c>
      <c r="W75" s="43">
        <v>1</v>
      </c>
      <c r="X75" s="43">
        <v>1</v>
      </c>
      <c r="Y75" s="43">
        <v>1</v>
      </c>
      <c r="Z75" s="43">
        <v>1</v>
      </c>
      <c r="AA75" s="43">
        <v>1</v>
      </c>
      <c r="AB75" s="43">
        <v>1</v>
      </c>
      <c r="AC75" s="43">
        <v>1</v>
      </c>
      <c r="AD75" s="43">
        <v>1</v>
      </c>
      <c r="AE75" s="43">
        <v>1</v>
      </c>
      <c r="AF75" s="43">
        <v>1</v>
      </c>
      <c r="AG75" s="43">
        <v>1</v>
      </c>
      <c r="AH75" s="43">
        <v>1</v>
      </c>
      <c r="AI75" s="43">
        <v>1</v>
      </c>
      <c r="AJ75" s="43">
        <v>1</v>
      </c>
      <c r="AK75" s="43">
        <v>1</v>
      </c>
      <c r="AL75" s="43">
        <v>1</v>
      </c>
      <c r="AM75" s="43">
        <v>1</v>
      </c>
      <c r="AN75" s="43">
        <v>1</v>
      </c>
      <c r="AO75" s="43">
        <v>216</v>
      </c>
      <c r="AP75" s="43">
        <v>216</v>
      </c>
      <c r="AQ75" s="43">
        <v>216</v>
      </c>
      <c r="AR75" s="43">
        <v>216</v>
      </c>
      <c r="AS75" s="43">
        <v>216</v>
      </c>
      <c r="AT75" s="43">
        <v>216</v>
      </c>
      <c r="AU75" s="43">
        <v>216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43">
        <v>0</v>
      </c>
      <c r="BK75" s="43">
        <v>0</v>
      </c>
      <c r="BL75" s="43">
        <v>0</v>
      </c>
      <c r="BM75" s="43">
        <v>0</v>
      </c>
      <c r="BN75" s="43">
        <v>0</v>
      </c>
      <c r="BO75" s="43">
        <v>0</v>
      </c>
      <c r="BP75" s="43">
        <v>0</v>
      </c>
      <c r="BQ75" s="43">
        <v>0</v>
      </c>
      <c r="BR75" s="43">
        <v>0</v>
      </c>
      <c r="BS75" s="43">
        <v>0</v>
      </c>
      <c r="BT75" s="43">
        <v>0</v>
      </c>
      <c r="BU75" s="43">
        <v>0</v>
      </c>
      <c r="BV75" s="43">
        <v>0</v>
      </c>
      <c r="BW75" s="43">
        <v>0</v>
      </c>
      <c r="BX75" s="43">
        <v>0</v>
      </c>
      <c r="BY75" s="43">
        <v>0</v>
      </c>
      <c r="BZ75" s="43">
        <v>0</v>
      </c>
    </row>
    <row r="76" spans="1:78" hidden="1" x14ac:dyDescent="0.25">
      <c r="A76" s="61" t="s">
        <v>92</v>
      </c>
      <c r="B76" s="35">
        <v>4</v>
      </c>
      <c r="C76" s="8" t="s">
        <v>23</v>
      </c>
      <c r="D76" s="7">
        <v>1018</v>
      </c>
      <c r="E76" s="63">
        <f>SUM(Q76:BZ76)</f>
        <v>0</v>
      </c>
      <c r="F76" s="5" t="s">
        <v>66</v>
      </c>
      <c r="G76" s="10"/>
      <c r="H76" s="49"/>
      <c r="I76" s="35"/>
      <c r="J76" s="35"/>
      <c r="K76" s="35"/>
      <c r="L76" s="9"/>
      <c r="M76" s="53"/>
      <c r="N76" s="53"/>
      <c r="O76" s="53"/>
      <c r="P76" s="5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</row>
    <row r="77" spans="1:78" hidden="1" x14ac:dyDescent="0.25">
      <c r="A77" s="61" t="s">
        <v>93</v>
      </c>
      <c r="B77" s="35">
        <v>4</v>
      </c>
      <c r="C77" s="8" t="s">
        <v>23</v>
      </c>
      <c r="D77" s="7">
        <v>1018</v>
      </c>
      <c r="E77" s="64">
        <f>E76-E75</f>
        <v>-1288.5999999999999</v>
      </c>
      <c r="F77" s="5" t="s">
        <v>66</v>
      </c>
      <c r="G77" s="35"/>
      <c r="H77" s="35"/>
      <c r="I77" s="35"/>
      <c r="J77" s="35"/>
      <c r="K77" s="35"/>
      <c r="L77" s="35"/>
      <c r="M77" s="36"/>
      <c r="N77" s="36"/>
      <c r="O77" s="36"/>
      <c r="P77" s="36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</row>
    <row r="78" spans="1:78" x14ac:dyDescent="0.25">
      <c r="A78" s="61" t="s">
        <v>91</v>
      </c>
      <c r="B78" s="35">
        <v>5</v>
      </c>
      <c r="C78" s="8" t="s">
        <v>57</v>
      </c>
      <c r="D78" s="7">
        <v>1018</v>
      </c>
      <c r="E78" s="9">
        <v>504</v>
      </c>
      <c r="F78" s="5" t="s">
        <v>66</v>
      </c>
      <c r="G78" s="10">
        <v>25</v>
      </c>
      <c r="H78" s="49">
        <v>24</v>
      </c>
      <c r="I78" s="35">
        <v>96</v>
      </c>
      <c r="J78" s="35">
        <v>1.5</v>
      </c>
      <c r="K78" s="35">
        <v>288</v>
      </c>
      <c r="L78" s="9">
        <v>25</v>
      </c>
      <c r="M78" s="53">
        <v>361.95838222222227</v>
      </c>
      <c r="N78" s="53">
        <v>386.95838222222227</v>
      </c>
      <c r="O78" s="53">
        <v>25</v>
      </c>
      <c r="P78" s="53">
        <v>386.95838222222227</v>
      </c>
      <c r="Q78" s="43">
        <v>1</v>
      </c>
      <c r="R78" s="43">
        <v>1</v>
      </c>
      <c r="S78" s="43">
        <v>1</v>
      </c>
      <c r="T78" s="43">
        <v>1</v>
      </c>
      <c r="U78" s="43">
        <v>1</v>
      </c>
      <c r="V78" s="43">
        <v>1</v>
      </c>
      <c r="W78" s="43">
        <v>1</v>
      </c>
      <c r="X78" s="43">
        <v>1</v>
      </c>
      <c r="Y78" s="43">
        <v>1</v>
      </c>
      <c r="Z78" s="43">
        <v>1</v>
      </c>
      <c r="AA78" s="43">
        <v>1</v>
      </c>
      <c r="AB78" s="43">
        <v>1</v>
      </c>
      <c r="AC78" s="43">
        <v>1</v>
      </c>
      <c r="AD78" s="43">
        <v>1</v>
      </c>
      <c r="AE78" s="43">
        <v>1</v>
      </c>
      <c r="AF78" s="43">
        <v>1</v>
      </c>
      <c r="AG78" s="43">
        <v>1</v>
      </c>
      <c r="AH78" s="43">
        <v>1</v>
      </c>
      <c r="AI78" s="43">
        <v>1</v>
      </c>
      <c r="AJ78" s="43">
        <v>1</v>
      </c>
      <c r="AK78" s="43">
        <v>1</v>
      </c>
      <c r="AL78" s="43">
        <v>1</v>
      </c>
      <c r="AM78" s="43">
        <v>1</v>
      </c>
      <c r="AN78" s="43">
        <v>1</v>
      </c>
      <c r="AO78" s="43">
        <v>1</v>
      </c>
      <c r="AP78" s="43">
        <v>1</v>
      </c>
      <c r="AQ78" s="43">
        <v>1</v>
      </c>
      <c r="AR78" s="43">
        <v>1</v>
      </c>
      <c r="AS78" s="43">
        <v>1</v>
      </c>
      <c r="AT78" s="43">
        <v>1</v>
      </c>
      <c r="AU78" s="43">
        <v>1</v>
      </c>
      <c r="AV78" s="43">
        <v>288</v>
      </c>
      <c r="AW78" s="43">
        <v>288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43">
        <v>0</v>
      </c>
      <c r="BK78" s="43">
        <v>0</v>
      </c>
      <c r="BL78" s="43">
        <v>0</v>
      </c>
      <c r="BM78" s="43">
        <v>0</v>
      </c>
      <c r="BN78" s="43">
        <v>0</v>
      </c>
      <c r="BO78" s="43">
        <v>0</v>
      </c>
      <c r="BP78" s="43">
        <v>0</v>
      </c>
      <c r="BQ78" s="43">
        <v>0</v>
      </c>
      <c r="BR78" s="43">
        <v>0</v>
      </c>
      <c r="BS78" s="43">
        <v>0</v>
      </c>
      <c r="BT78" s="43">
        <v>0</v>
      </c>
      <c r="BU78" s="43">
        <v>0</v>
      </c>
      <c r="BV78" s="43">
        <v>0</v>
      </c>
      <c r="BW78" s="43">
        <v>0</v>
      </c>
      <c r="BX78" s="43">
        <v>0</v>
      </c>
      <c r="BY78" s="43">
        <v>0</v>
      </c>
      <c r="BZ78" s="43">
        <v>0</v>
      </c>
    </row>
    <row r="79" spans="1:78" hidden="1" x14ac:dyDescent="0.25">
      <c r="A79" s="61" t="s">
        <v>92</v>
      </c>
      <c r="B79" s="35">
        <v>5</v>
      </c>
      <c r="C79" s="8" t="s">
        <v>57</v>
      </c>
      <c r="D79" s="7">
        <v>1018</v>
      </c>
      <c r="E79" s="63">
        <f>SUM(Q79:BZ79)</f>
        <v>0</v>
      </c>
      <c r="F79" s="5" t="s">
        <v>66</v>
      </c>
      <c r="G79" s="50"/>
      <c r="H79" s="49"/>
      <c r="I79" s="35"/>
      <c r="J79" s="35"/>
      <c r="K79" s="35"/>
      <c r="L79" s="9"/>
      <c r="M79" s="53"/>
      <c r="N79" s="53"/>
      <c r="O79" s="53"/>
      <c r="P79" s="5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</row>
    <row r="80" spans="1:78" hidden="1" x14ac:dyDescent="0.25">
      <c r="A80" s="61" t="s">
        <v>93</v>
      </c>
      <c r="B80" s="35">
        <v>5</v>
      </c>
      <c r="C80" s="8" t="s">
        <v>57</v>
      </c>
      <c r="D80" s="7">
        <v>1018</v>
      </c>
      <c r="E80" s="64">
        <f>E79-E78</f>
        <v>-504</v>
      </c>
      <c r="F80" s="5" t="s">
        <v>66</v>
      </c>
      <c r="G80" s="35"/>
      <c r="H80" s="35"/>
      <c r="I80" s="35"/>
      <c r="J80" s="35"/>
      <c r="K80" s="35"/>
      <c r="L80" s="35"/>
      <c r="M80" s="36"/>
      <c r="N80" s="36"/>
      <c r="O80" s="36"/>
      <c r="P80" s="36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</row>
    <row r="81" spans="1:78" x14ac:dyDescent="0.25">
      <c r="A81" s="61" t="s">
        <v>91</v>
      </c>
      <c r="B81" s="35">
        <v>6</v>
      </c>
      <c r="C81" s="8" t="s">
        <v>24</v>
      </c>
      <c r="D81" s="7">
        <v>1018</v>
      </c>
      <c r="E81" s="9">
        <v>1854.3576167076169</v>
      </c>
      <c r="F81" s="5" t="s">
        <v>66</v>
      </c>
      <c r="G81" s="50">
        <v>112.01986759486761</v>
      </c>
      <c r="H81" s="49">
        <v>18</v>
      </c>
      <c r="I81" s="35">
        <v>162</v>
      </c>
      <c r="J81" s="35">
        <v>3</v>
      </c>
      <c r="K81" s="35">
        <v>216</v>
      </c>
      <c r="L81" s="9">
        <v>112.01986759486761</v>
      </c>
      <c r="M81" s="53">
        <v>386.95838222222227</v>
      </c>
      <c r="N81" s="53">
        <v>498.97824981708987</v>
      </c>
      <c r="O81" s="53">
        <v>112.01986759486761</v>
      </c>
      <c r="P81" s="53">
        <v>498.97824981708987</v>
      </c>
      <c r="Q81" s="43">
        <v>1</v>
      </c>
      <c r="R81" s="43">
        <v>1</v>
      </c>
      <c r="S81" s="43">
        <v>1</v>
      </c>
      <c r="T81" s="43">
        <v>1</v>
      </c>
      <c r="U81" s="43">
        <v>1</v>
      </c>
      <c r="V81" s="43">
        <v>1</v>
      </c>
      <c r="W81" s="43">
        <v>1</v>
      </c>
      <c r="X81" s="43">
        <v>1</v>
      </c>
      <c r="Y81" s="43">
        <v>1</v>
      </c>
      <c r="Z81" s="43">
        <v>1</v>
      </c>
      <c r="AA81" s="43">
        <v>1</v>
      </c>
      <c r="AB81" s="43">
        <v>1</v>
      </c>
      <c r="AC81" s="43">
        <v>1</v>
      </c>
      <c r="AD81" s="43">
        <v>1</v>
      </c>
      <c r="AE81" s="43">
        <v>1</v>
      </c>
      <c r="AF81" s="43">
        <v>1</v>
      </c>
      <c r="AG81" s="43">
        <v>1</v>
      </c>
      <c r="AH81" s="43">
        <v>1</v>
      </c>
      <c r="AI81" s="43">
        <v>1</v>
      </c>
      <c r="AJ81" s="43">
        <v>1</v>
      </c>
      <c r="AK81" s="43">
        <v>1</v>
      </c>
      <c r="AL81" s="43">
        <v>1</v>
      </c>
      <c r="AM81" s="43">
        <v>1</v>
      </c>
      <c r="AN81" s="43">
        <v>1</v>
      </c>
      <c r="AO81" s="43">
        <v>1</v>
      </c>
      <c r="AP81" s="43">
        <v>1</v>
      </c>
      <c r="AQ81" s="43">
        <v>1</v>
      </c>
      <c r="AR81" s="43">
        <v>1</v>
      </c>
      <c r="AS81" s="43">
        <v>1</v>
      </c>
      <c r="AT81" s="43">
        <v>1</v>
      </c>
      <c r="AU81" s="43">
        <v>1</v>
      </c>
      <c r="AV81" s="43">
        <v>1</v>
      </c>
      <c r="AW81" s="43">
        <v>1</v>
      </c>
      <c r="AX81" s="43">
        <v>216</v>
      </c>
      <c r="AY81" s="43">
        <v>216</v>
      </c>
      <c r="AZ81" s="43">
        <v>216</v>
      </c>
      <c r="BA81" s="43">
        <v>216</v>
      </c>
      <c r="BB81" s="43">
        <v>216</v>
      </c>
      <c r="BC81" s="43">
        <v>216</v>
      </c>
      <c r="BD81" s="43">
        <v>216</v>
      </c>
      <c r="BE81" s="43">
        <v>216</v>
      </c>
      <c r="BF81" s="43">
        <v>216</v>
      </c>
      <c r="BG81" s="43">
        <v>0</v>
      </c>
      <c r="BH81" s="43">
        <v>0</v>
      </c>
      <c r="BI81" s="43">
        <v>0</v>
      </c>
      <c r="BJ81" s="43">
        <v>0</v>
      </c>
      <c r="BK81" s="43">
        <v>0</v>
      </c>
      <c r="BL81" s="43">
        <v>0</v>
      </c>
      <c r="BM81" s="43">
        <v>0</v>
      </c>
      <c r="BN81" s="43">
        <v>0</v>
      </c>
      <c r="BO81" s="43">
        <v>0</v>
      </c>
      <c r="BP81" s="43">
        <v>0</v>
      </c>
      <c r="BQ81" s="43">
        <v>0</v>
      </c>
      <c r="BR81" s="43">
        <v>0</v>
      </c>
      <c r="BS81" s="43">
        <v>0</v>
      </c>
      <c r="BT81" s="43">
        <v>0</v>
      </c>
      <c r="BU81" s="43">
        <v>0</v>
      </c>
      <c r="BV81" s="43">
        <v>0</v>
      </c>
      <c r="BW81" s="43">
        <v>0</v>
      </c>
      <c r="BX81" s="43">
        <v>0</v>
      </c>
      <c r="BY81" s="43">
        <v>0</v>
      </c>
      <c r="BZ81" s="43">
        <v>0</v>
      </c>
    </row>
    <row r="82" spans="1:78" hidden="1" x14ac:dyDescent="0.25">
      <c r="A82" s="61" t="s">
        <v>92</v>
      </c>
      <c r="B82" s="35">
        <v>6</v>
      </c>
      <c r="C82" s="8" t="s">
        <v>24</v>
      </c>
      <c r="D82" s="7">
        <v>1018</v>
      </c>
      <c r="E82" s="63">
        <f>SUM(Q82:BZ82)</f>
        <v>0</v>
      </c>
      <c r="F82" s="5" t="s">
        <v>66</v>
      </c>
      <c r="G82" s="35"/>
      <c r="H82" s="35"/>
      <c r="I82" s="35"/>
      <c r="J82" s="35"/>
      <c r="K82" s="35"/>
      <c r="L82" s="35"/>
      <c r="M82" s="36"/>
      <c r="N82" s="36"/>
      <c r="O82" s="36"/>
      <c r="P82" s="36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</row>
    <row r="83" spans="1:78" hidden="1" x14ac:dyDescent="0.25">
      <c r="A83" s="61" t="s">
        <v>93</v>
      </c>
      <c r="B83" s="35">
        <v>6</v>
      </c>
      <c r="C83" s="8" t="s">
        <v>24</v>
      </c>
      <c r="D83" s="7">
        <v>1018</v>
      </c>
      <c r="E83" s="64">
        <f>E82-E81</f>
        <v>-1854.3576167076169</v>
      </c>
      <c r="F83" s="5" t="s">
        <v>66</v>
      </c>
      <c r="G83" s="10"/>
      <c r="H83" s="49"/>
      <c r="I83" s="35"/>
      <c r="J83" s="35"/>
      <c r="K83" s="35"/>
      <c r="L83" s="9"/>
      <c r="M83" s="53"/>
      <c r="N83" s="53"/>
      <c r="O83" s="53"/>
      <c r="P83" s="5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</row>
    <row r="84" spans="1:78" x14ac:dyDescent="0.25">
      <c r="A84" s="61" t="s">
        <v>91</v>
      </c>
      <c r="B84" s="35">
        <v>7</v>
      </c>
      <c r="C84" s="8" t="s">
        <v>16</v>
      </c>
      <c r="D84" s="7">
        <v>1018</v>
      </c>
      <c r="E84" s="9">
        <v>2219</v>
      </c>
      <c r="F84" s="5" t="s">
        <v>66</v>
      </c>
      <c r="G84" s="35">
        <v>97.458333333333329</v>
      </c>
      <c r="H84" s="35">
        <v>24</v>
      </c>
      <c r="I84" s="35">
        <v>120</v>
      </c>
      <c r="J84" s="35">
        <v>1.5</v>
      </c>
      <c r="K84" s="35">
        <v>288</v>
      </c>
      <c r="L84" s="35">
        <v>97.458333333333329</v>
      </c>
      <c r="M84" s="36">
        <v>498.97824981708987</v>
      </c>
      <c r="N84" s="36">
        <v>596.43658315042319</v>
      </c>
      <c r="O84" s="36">
        <v>97.458333333333314</v>
      </c>
      <c r="P84" s="36">
        <v>596.43658315042319</v>
      </c>
      <c r="Q84" s="43">
        <v>1</v>
      </c>
      <c r="R84" s="43">
        <v>1</v>
      </c>
      <c r="S84" s="43">
        <v>1</v>
      </c>
      <c r="T84" s="43">
        <v>1</v>
      </c>
      <c r="U84" s="43">
        <v>1</v>
      </c>
      <c r="V84" s="43">
        <v>1</v>
      </c>
      <c r="W84" s="43">
        <v>1</v>
      </c>
      <c r="X84" s="43">
        <v>1</v>
      </c>
      <c r="Y84" s="43">
        <v>1</v>
      </c>
      <c r="Z84" s="43">
        <v>1</v>
      </c>
      <c r="AA84" s="43">
        <v>1</v>
      </c>
      <c r="AB84" s="43">
        <v>1</v>
      </c>
      <c r="AC84" s="43">
        <v>1</v>
      </c>
      <c r="AD84" s="43">
        <v>1</v>
      </c>
      <c r="AE84" s="43">
        <v>1</v>
      </c>
      <c r="AF84" s="43">
        <v>1</v>
      </c>
      <c r="AG84" s="43">
        <v>1</v>
      </c>
      <c r="AH84" s="43">
        <v>1</v>
      </c>
      <c r="AI84" s="43">
        <v>1</v>
      </c>
      <c r="AJ84" s="43">
        <v>1</v>
      </c>
      <c r="AK84" s="43">
        <v>1</v>
      </c>
      <c r="AL84" s="43">
        <v>1</v>
      </c>
      <c r="AM84" s="43">
        <v>1</v>
      </c>
      <c r="AN84" s="43">
        <v>1</v>
      </c>
      <c r="AO84" s="43">
        <v>1</v>
      </c>
      <c r="AP84" s="43">
        <v>1</v>
      </c>
      <c r="AQ84" s="43">
        <v>1</v>
      </c>
      <c r="AR84" s="43">
        <v>1</v>
      </c>
      <c r="AS84" s="43">
        <v>1</v>
      </c>
      <c r="AT84" s="43">
        <v>1</v>
      </c>
      <c r="AU84" s="43">
        <v>1</v>
      </c>
      <c r="AV84" s="43">
        <v>1</v>
      </c>
      <c r="AW84" s="43">
        <v>1</v>
      </c>
      <c r="AX84" s="43">
        <v>1</v>
      </c>
      <c r="AY84" s="43">
        <v>1</v>
      </c>
      <c r="AZ84" s="43">
        <v>1</v>
      </c>
      <c r="BA84" s="43">
        <v>1</v>
      </c>
      <c r="BB84" s="43">
        <v>1</v>
      </c>
      <c r="BC84" s="43">
        <v>1</v>
      </c>
      <c r="BD84" s="43">
        <v>1</v>
      </c>
      <c r="BE84" s="43">
        <v>1</v>
      </c>
      <c r="BF84" s="43">
        <v>1</v>
      </c>
      <c r="BG84" s="43">
        <v>288</v>
      </c>
      <c r="BH84" s="43">
        <v>288</v>
      </c>
      <c r="BI84" s="43">
        <v>288</v>
      </c>
      <c r="BJ84" s="43">
        <v>288</v>
      </c>
      <c r="BK84" s="43">
        <v>288</v>
      </c>
      <c r="BL84" s="43">
        <v>288</v>
      </c>
      <c r="BM84" s="43">
        <v>288</v>
      </c>
      <c r="BN84" s="43">
        <v>288</v>
      </c>
      <c r="BO84" s="43">
        <v>0</v>
      </c>
      <c r="BP84" s="43">
        <v>0</v>
      </c>
      <c r="BQ84" s="43">
        <v>0</v>
      </c>
      <c r="BR84" s="43">
        <v>0</v>
      </c>
      <c r="BS84" s="43">
        <v>0</v>
      </c>
      <c r="BT84" s="43">
        <v>0</v>
      </c>
      <c r="BU84" s="43">
        <v>0</v>
      </c>
      <c r="BV84" s="43">
        <v>0</v>
      </c>
      <c r="BW84" s="43">
        <v>0</v>
      </c>
      <c r="BX84" s="43">
        <v>0</v>
      </c>
      <c r="BY84" s="43">
        <v>0</v>
      </c>
      <c r="BZ84" s="43">
        <v>0</v>
      </c>
    </row>
    <row r="85" spans="1:78" hidden="1" x14ac:dyDescent="0.25">
      <c r="A85" s="61" t="s">
        <v>92</v>
      </c>
      <c r="B85" s="35">
        <v>7</v>
      </c>
      <c r="C85" s="8" t="s">
        <v>16</v>
      </c>
      <c r="D85" s="7">
        <v>1018</v>
      </c>
      <c r="E85" s="63">
        <f>SUM(Q85:BZ85)</f>
        <v>0</v>
      </c>
      <c r="F85" s="5" t="s">
        <v>66</v>
      </c>
      <c r="G85" s="10"/>
      <c r="H85" s="49"/>
      <c r="I85" s="35"/>
      <c r="J85" s="35"/>
      <c r="K85" s="35"/>
      <c r="L85" s="9"/>
      <c r="M85" s="53"/>
      <c r="N85" s="53"/>
      <c r="O85" s="53"/>
      <c r="P85" s="5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</row>
    <row r="86" spans="1:78" hidden="1" x14ac:dyDescent="0.25">
      <c r="A86" s="61" t="s">
        <v>93</v>
      </c>
      <c r="B86" s="35">
        <v>7</v>
      </c>
      <c r="C86" s="8" t="s">
        <v>16</v>
      </c>
      <c r="D86" s="7">
        <v>1018</v>
      </c>
      <c r="E86" s="64">
        <f>E85-E84</f>
        <v>-2219</v>
      </c>
      <c r="F86" s="5" t="s">
        <v>66</v>
      </c>
      <c r="G86" s="35"/>
      <c r="H86" s="35"/>
      <c r="I86" s="35"/>
      <c r="J86" s="35"/>
      <c r="K86" s="35"/>
      <c r="L86" s="35"/>
      <c r="M86" s="36"/>
      <c r="N86" s="36"/>
      <c r="O86" s="36"/>
      <c r="P86" s="36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</row>
    <row r="87" spans="1:78" x14ac:dyDescent="0.25">
      <c r="A87" s="61" t="s">
        <v>91</v>
      </c>
      <c r="B87" s="35">
        <v>8</v>
      </c>
      <c r="C87" s="8" t="s">
        <v>61</v>
      </c>
      <c r="D87" s="7">
        <v>1018</v>
      </c>
      <c r="E87" s="9">
        <v>24</v>
      </c>
      <c r="F87" s="5" t="s">
        <v>66</v>
      </c>
      <c r="G87" s="10">
        <v>6</v>
      </c>
      <c r="H87" s="49">
        <v>24</v>
      </c>
      <c r="I87" s="35">
        <v>120</v>
      </c>
      <c r="J87" s="35">
        <v>1.5</v>
      </c>
      <c r="K87" s="35">
        <v>288</v>
      </c>
      <c r="L87" s="9">
        <v>6</v>
      </c>
      <c r="M87" s="53">
        <v>596.43658315042319</v>
      </c>
      <c r="N87" s="53">
        <v>602.43658315042319</v>
      </c>
      <c r="O87" s="53">
        <v>6</v>
      </c>
      <c r="P87" s="53">
        <v>602.43658315042319</v>
      </c>
      <c r="Q87" s="43">
        <v>1</v>
      </c>
      <c r="R87" s="43">
        <v>1</v>
      </c>
      <c r="S87" s="43">
        <v>1</v>
      </c>
      <c r="T87" s="43">
        <v>1</v>
      </c>
      <c r="U87" s="43">
        <v>1</v>
      </c>
      <c r="V87" s="43">
        <v>1</v>
      </c>
      <c r="W87" s="43">
        <v>1</v>
      </c>
      <c r="X87" s="43">
        <v>1</v>
      </c>
      <c r="Y87" s="43">
        <v>1</v>
      </c>
      <c r="Z87" s="43">
        <v>1</v>
      </c>
      <c r="AA87" s="43">
        <v>1</v>
      </c>
      <c r="AB87" s="43">
        <v>1</v>
      </c>
      <c r="AC87" s="43">
        <v>1</v>
      </c>
      <c r="AD87" s="43">
        <v>1</v>
      </c>
      <c r="AE87" s="43">
        <v>1</v>
      </c>
      <c r="AF87" s="43">
        <v>1</v>
      </c>
      <c r="AG87" s="43">
        <v>1</v>
      </c>
      <c r="AH87" s="43">
        <v>1</v>
      </c>
      <c r="AI87" s="43">
        <v>1</v>
      </c>
      <c r="AJ87" s="43">
        <v>1</v>
      </c>
      <c r="AK87" s="43">
        <v>1</v>
      </c>
      <c r="AL87" s="43">
        <v>1</v>
      </c>
      <c r="AM87" s="43">
        <v>1</v>
      </c>
      <c r="AN87" s="43">
        <v>1</v>
      </c>
      <c r="AO87" s="43">
        <v>1</v>
      </c>
      <c r="AP87" s="43">
        <v>1</v>
      </c>
      <c r="AQ87" s="43">
        <v>1</v>
      </c>
      <c r="AR87" s="43">
        <v>1</v>
      </c>
      <c r="AS87" s="43">
        <v>1</v>
      </c>
      <c r="AT87" s="43">
        <v>1</v>
      </c>
      <c r="AU87" s="43">
        <v>1</v>
      </c>
      <c r="AV87" s="43">
        <v>1</v>
      </c>
      <c r="AW87" s="43">
        <v>1</v>
      </c>
      <c r="AX87" s="43">
        <v>1</v>
      </c>
      <c r="AY87" s="43">
        <v>1</v>
      </c>
      <c r="AZ87" s="43">
        <v>1</v>
      </c>
      <c r="BA87" s="43">
        <v>1</v>
      </c>
      <c r="BB87" s="43">
        <v>1</v>
      </c>
      <c r="BC87" s="43">
        <v>1</v>
      </c>
      <c r="BD87" s="43">
        <v>1</v>
      </c>
      <c r="BE87" s="43">
        <v>1</v>
      </c>
      <c r="BF87" s="43">
        <v>1</v>
      </c>
      <c r="BG87" s="43">
        <v>1</v>
      </c>
      <c r="BH87" s="43">
        <v>1</v>
      </c>
      <c r="BI87" s="43">
        <v>1</v>
      </c>
      <c r="BJ87" s="43">
        <v>1</v>
      </c>
      <c r="BK87" s="43">
        <v>1</v>
      </c>
      <c r="BL87" s="43">
        <v>1</v>
      </c>
      <c r="BM87" s="43">
        <v>1</v>
      </c>
      <c r="BN87" s="43">
        <v>1</v>
      </c>
      <c r="BO87" s="43">
        <v>288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</row>
    <row r="88" spans="1:78" hidden="1" x14ac:dyDescent="0.25">
      <c r="A88" s="61" t="s">
        <v>92</v>
      </c>
      <c r="B88" s="35">
        <v>8</v>
      </c>
      <c r="C88" s="8" t="s">
        <v>61</v>
      </c>
      <c r="D88" s="7">
        <v>1018</v>
      </c>
      <c r="E88" s="63">
        <f>SUM(Q88:BZ88)</f>
        <v>0</v>
      </c>
      <c r="F88" s="5" t="s">
        <v>66</v>
      </c>
      <c r="G88" s="50"/>
      <c r="H88" s="49"/>
      <c r="I88" s="35"/>
      <c r="J88" s="35"/>
      <c r="K88" s="35"/>
      <c r="L88" s="9"/>
      <c r="M88" s="53"/>
      <c r="N88" s="53"/>
      <c r="O88" s="53"/>
      <c r="P88" s="5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</row>
    <row r="89" spans="1:78" hidden="1" x14ac:dyDescent="0.25">
      <c r="A89" s="61" t="s">
        <v>93</v>
      </c>
      <c r="B89" s="35">
        <v>8</v>
      </c>
      <c r="C89" s="8" t="s">
        <v>61</v>
      </c>
      <c r="D89" s="7">
        <v>1018</v>
      </c>
      <c r="E89" s="64">
        <f>E88-E87</f>
        <v>-24</v>
      </c>
      <c r="F89" s="5" t="s">
        <v>66</v>
      </c>
      <c r="G89" s="35"/>
      <c r="H89" s="35"/>
      <c r="I89" s="35"/>
      <c r="J89" s="35"/>
      <c r="K89" s="35"/>
      <c r="L89" s="35"/>
      <c r="M89" s="36"/>
      <c r="N89" s="36"/>
      <c r="O89" s="36"/>
      <c r="P89" s="36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</row>
    <row r="92" spans="1:78" x14ac:dyDescent="0.25">
      <c r="F92" s="37"/>
      <c r="G92" s="37"/>
      <c r="H92" s="37"/>
    </row>
    <row r="93" spans="1:78" x14ac:dyDescent="0.25">
      <c r="F93" s="37"/>
      <c r="G93" s="37"/>
      <c r="H93" s="37"/>
    </row>
  </sheetData>
  <autoFilter ref="A5:BZ89">
    <filterColumn colId="0">
      <filters>
        <filter val="ПЛАН"/>
      </filters>
    </filterColumn>
    <filterColumn colId="5">
      <filters>
        <filter val="Линия HPM-25T(251)"/>
      </filters>
    </filterColumn>
    <sortState ref="A66:BZ89">
      <sortCondition ref="B5:B89"/>
    </sortState>
  </autoFilter>
  <mergeCells count="31">
    <mergeCell ref="BY2:BZ2"/>
    <mergeCell ref="BM2:BN2"/>
    <mergeCell ref="BO2:BP2"/>
    <mergeCell ref="BQ2:BR2"/>
    <mergeCell ref="BS2:BT2"/>
    <mergeCell ref="BU2:BV2"/>
    <mergeCell ref="BW2:BX2"/>
    <mergeCell ref="BK2:BL2"/>
    <mergeCell ref="AO2:AP2"/>
    <mergeCell ref="AQ2:AR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AM2:AN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</mergeCells>
  <conditionalFormatting sqref="Q6:BZ89">
    <cfRule type="cellIs" dxfId="4" priority="4" operator="equal">
      <formula>0</formula>
    </cfRule>
    <cfRule type="cellIs" dxfId="3" priority="5" operator="greaterThan">
      <formula>1</formula>
    </cfRule>
  </conditionalFormatting>
  <conditionalFormatting sqref="AW6:AW89 AZ6:AZ89 BC6:BC89 BF6:BF89 BI6:BI89 BL6:BL89 BO6:BO89 BU6:BU89 BR6:BR89 BX6:BX89 BZ6:BZ89">
    <cfRule type="cellIs" dxfId="2" priority="2" operator="equal">
      <formula>0</formula>
    </cfRule>
    <cfRule type="cellIs" dxfId="1" priority="3" operator="equal">
      <formula>1</formula>
    </cfRule>
  </conditionalFormatting>
  <conditionalFormatting sqref="Q6:BZ89">
    <cfRule type="cellIs" dxfId="0" priority="1" operator="equal">
      <formula>1</formula>
    </cfRule>
  </conditionalFormatting>
  <dataValidations count="1">
    <dataValidation type="list" allowBlank="1" showInputMessage="1" showErrorMessage="1" sqref="F6:F89">
      <formula1>$M$2:$M$6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Циклограмма</vt:lpstr>
      <vt:lpstr>План Факт</vt:lpstr>
      <vt:lpstr>База</vt:lpstr>
      <vt:lpstr>План Факт (ТЕСТЫ)</vt:lpstr>
      <vt:lpstr>База!Область_печати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2016-09-06T20:40:11Z</dcterms:modified>
</cp:coreProperties>
</file>